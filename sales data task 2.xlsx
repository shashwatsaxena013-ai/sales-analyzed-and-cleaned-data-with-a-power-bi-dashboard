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harad Saxena\Desktop\"/>
    </mc:Choice>
  </mc:AlternateContent>
  <xr:revisionPtr revIDLastSave="0" documentId="13_ncr:1_{09F9AAB8-4F74-4BF7-A144-43E4553B620B}" xr6:coauthVersionLast="47" xr6:coauthVersionMax="47" xr10:uidLastSave="{00000000-0000-0000-0000-000000000000}"/>
  <bookViews>
    <workbookView xWindow="-108" yWindow="-108" windowWidth="23256" windowHeight="12456" tabRatio="836" firstSheet="1" activeTab="1" xr2:uid="{00000000-000D-0000-FFFF-FFFF00000000}"/>
  </bookViews>
  <sheets>
    <sheet name="sales by region" sheetId="4" r:id="rId1"/>
    <sheet name="total sales" sheetId="5" r:id="rId2"/>
    <sheet name="top 10 products by there sales" sheetId="14" r:id="rId3"/>
    <sheet name="monthly sales trend" sheetId="6" r:id="rId4"/>
    <sheet name="total profit" sheetId="8" r:id="rId5"/>
    <sheet name="average of post margin" sheetId="9" r:id="rId6"/>
    <sheet name="quantity" sheetId="10" r:id="rId7"/>
    <sheet name="profit by region" sheetId="11" r:id="rId8"/>
    <sheet name="Sales_Data" sheetId="1" r:id="rId9"/>
  </sheets>
  <calcPr calcId="191029"/>
  <pivotCaches>
    <pivotCache cacheId="0" r:id="rId10"/>
    <pivotCache cacheId="10" r:id="rId11"/>
    <pivotCache cacheId="14" r:id="rId12"/>
  </pivotCaches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2" i="1"/>
</calcChain>
</file>

<file path=xl/sharedStrings.xml><?xml version="1.0" encoding="utf-8"?>
<sst xmlns="http://schemas.openxmlformats.org/spreadsheetml/2006/main" count="352" uniqueCount="108">
  <si>
    <t>Order ID</t>
  </si>
  <si>
    <t>Order Date</t>
  </si>
  <si>
    <t>Region</t>
  </si>
  <si>
    <t>Category</t>
  </si>
  <si>
    <t>Product</t>
  </si>
  <si>
    <t>Quantity</t>
  </si>
  <si>
    <t>Sales</t>
  </si>
  <si>
    <t>Profit</t>
  </si>
  <si>
    <t>ORD0001</t>
  </si>
  <si>
    <t>West</t>
  </si>
  <si>
    <t>Office Supplies</t>
  </si>
  <si>
    <t>Stapler</t>
  </si>
  <si>
    <t>ORD0002</t>
  </si>
  <si>
    <t>North</t>
  </si>
  <si>
    <t>Printer Paper</t>
  </si>
  <si>
    <t>ORD0003</t>
  </si>
  <si>
    <t>South</t>
  </si>
  <si>
    <t>Notebook</t>
  </si>
  <si>
    <t>ORD0004</t>
  </si>
  <si>
    <t>Furniture</t>
  </si>
  <si>
    <t>Chair</t>
  </si>
  <si>
    <t>ORD0005</t>
  </si>
  <si>
    <t>East</t>
  </si>
  <si>
    <t>ORD0006</t>
  </si>
  <si>
    <t>ORD0007</t>
  </si>
  <si>
    <t>Technology</t>
  </si>
  <si>
    <t>Keyboard</t>
  </si>
  <si>
    <t>ORD0008</t>
  </si>
  <si>
    <t>Laptop</t>
  </si>
  <si>
    <t>ORD0009</t>
  </si>
  <si>
    <t>Cabinet</t>
  </si>
  <si>
    <t>ORD0010</t>
  </si>
  <si>
    <t>ORD0011</t>
  </si>
  <si>
    <t>ORD0012</t>
  </si>
  <si>
    <t>Mouse</t>
  </si>
  <si>
    <t>ORD0013</t>
  </si>
  <si>
    <t>ORD0014</t>
  </si>
  <si>
    <t>ORD0015</t>
  </si>
  <si>
    <t>Monitor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</si>
  <si>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</si>
  <si>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</si>
  <si>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</si>
  <si>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</si>
  <si>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</si>
  <si>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</si>
  <si>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</si>
  <si>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</si>
  <si>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</si>
  <si>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</si>
  <si>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</si>
  <si>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</si>
  <si>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Pen</t>
  </si>
  <si>
    <t>ORD0028</t>
  </si>
  <si>
    <t>Table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</si>
  <si>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</si>
  <si>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</si>
  <si>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</si>
  <si>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</si>
  <si>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</si>
  <si>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</si>
  <si>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</si>
  <si>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</si>
  <si>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Desk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</si>
  <si>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</si>
  <si>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</si>
  <si>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</si>
  <si>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</si>
  <si>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</si>
  <si>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</si>
  <si>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</si>
  <si>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</si>
  <si>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</si>
  <si>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</si>
  <si>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</si>
  <si>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</si>
  <si>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</si>
  <si>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</si>
  <si>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</si>
  <si>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</si>
  <si>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</si>
  <si>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</si>
  <si>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</si>
  <si>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</si>
  <si>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</si>
  <si>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</si>
  <si>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</si>
  <si>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</si>
  <si>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profit margin</t>
  </si>
  <si>
    <t>Grand Total</t>
  </si>
  <si>
    <t>Row Labels</t>
  </si>
  <si>
    <t>Sum of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</si>
  <si>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</si>
  <si>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</si>
  <si>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</si>
  <si>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</si>
  <si>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</si>
  <si>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</si>
  <si>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</si>
  <si>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</si>
  <si>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</si>
  <si>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</si>
  <si>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</si>
  <si>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</si>
  <si>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sales category</t>
  </si>
  <si>
    <t>Sum of Profit</t>
  </si>
  <si>
    <t>Average of profit margin</t>
  </si>
  <si>
    <t>Sum of Quantity</t>
  </si>
  <si>
    <t>Sum of 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</si>
</sst>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[Sales_Dataset.xlsx]top 10 products by there sales!PivotTable5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10 products by there sales'!$B$1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products by there sales'!$A$2:$A$12</c:f>
              <c:strCache>
                <c:ptCount val="10"/>
                <c:pt idx="0">
                  <c:v>Printer Paper</c:v>
                </c:pt>
                <c:pt idx="1">
                  <c:v>Keyboard</c:v>
                </c:pt>
                <c:pt idx="2">
                  <c:v>Laptop</c:v>
                </c:pt>
                <c:pt idx="3">
                  <c:v>Stapler</c:v>
                </c:pt>
                <c:pt idx="4">
                  <c:v>Chair</c:v>
                </c:pt>
                <c:pt idx="5">
                  <c:v>Notebook</c:v>
                </c:pt>
                <c:pt idx="6">
                  <c:v>Pen</c:v>
                </c:pt>
                <c:pt idx="7">
                  <c:v>Table</c:v>
                </c:pt>
                <c:pt idx="8">
                  <c:v>Desk</c:v>
                </c:pt>
                <c:pt idx="9">
                  <c:v>Mouse</c:v>
                </c:pt>
              </c:strCache>
            </c:strRef>
          </c:cat>
          <c:val>
            <c:numRef>
              <c:f>'top 10 products by there sales'!$B$2:$B$12</c:f>
              <c:numCache>
                <c:formatCode>General</c:formatCode>
                <c:ptCount val="10"/>
                <c:pt idx="0">
                  <c:v>12140.65</c:v>
                </c:pt>
                <c:pt idx="1">
                  <c:v>9673.24</c:v>
                </c:pt>
                <c:pt idx="2">
                  <c:v>9226.0499999999993</c:v>
                </c:pt>
                <c:pt idx="3">
                  <c:v>8646.81</c:v>
                </c:pt>
                <c:pt idx="4">
                  <c:v>7229.67</c:v>
                </c:pt>
                <c:pt idx="5">
                  <c:v>6989.9400000000005</c:v>
                </c:pt>
                <c:pt idx="6">
                  <c:v>6031.96</c:v>
                </c:pt>
                <c:pt idx="7">
                  <c:v>5892.46</c:v>
                </c:pt>
                <c:pt idx="8">
                  <c:v>5385.28</c:v>
                </c:pt>
                <c:pt idx="9">
                  <c:v>4491.3999999999996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7D-46C2-80F5-C61C40E7E2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5203536"/>
        <c:axId val="495220336"/>
      </c:barChart>
      <c:catAx>
        <c:axId val="495203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220336"/>
        <c:crosses val="autoZero"/>
        <c:auto val="1"/>
        <c:lblAlgn val="ctr"/>
        <c:lblOffset val="100"/>
        <c:noMultiLvlLbl val="0"/>
      </c:catAx>
      <c:valAx>
        <c:axId val="49522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203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[Sales_Dataset.xlsx]monthly sales trend!PivotTable4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sales trend'!$B$3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sales trend'!$A$4:$A$16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sales trend'!$B$4:$B$16</c:f>
              <c:numCache>
                <c:formatCode>General</c:formatCode>
                <c:ptCount val="12"/>
                <c:pt idx="0">
                  <c:v>9031.61</c:v>
                </c:pt>
                <c:pt idx="1">
                  <c:v>11217.099999999999</c:v>
                </c:pt>
                <c:pt idx="2">
                  <c:v>2248.56</c:v>
                </c:pt>
                <c:pt idx="3">
                  <c:v>669.7</c:v>
                </c:pt>
                <c:pt idx="4">
                  <c:v>4846.4799999999996</c:v>
                </c:pt>
                <c:pt idx="5">
                  <c:v>9492.35</c:v>
                </c:pt>
                <c:pt idx="6">
                  <c:v>4884.2999999999993</c:v>
                </c:pt>
                <c:pt idx="7">
                  <c:v>11014.92</c:v>
                </c:pt>
                <c:pt idx="8">
                  <c:v>8890.93</c:v>
                </c:pt>
                <c:pt idx="9">
                  <c:v>7042.0199999999995</c:v>
                </c:pt>
                <c:pt idx="10">
                  <c:v>6508.28</c:v>
                </c:pt>
                <c:pt idx="11">
                  <c:v>5469.56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56-404E-86AD-DCC73BB7B5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5210256"/>
        <c:axId val="495215056"/>
      </c:barChart>
      <c:catAx>
        <c:axId val="495210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215056"/>
        <c:crosses val="autoZero"/>
        <c:auto val="1"/>
        <c:lblAlgn val="ctr"/>
        <c:lblOffset val="100"/>
        <c:noMultiLvlLbl val="0"/>
      </c:catAx>
      <c:valAx>
        <c:axId val="495215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210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[Sales_Dataset.xlsx]profit by region!PivotTable4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by region'!$A$4:$A$8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'profit by region'!$B$4:$B$8</c:f>
              <c:numCache>
                <c:formatCode>General</c:formatCode>
                <c:ptCount val="4"/>
                <c:pt idx="0">
                  <c:v>4392.57</c:v>
                </c:pt>
                <c:pt idx="1">
                  <c:v>2034.31</c:v>
                </c:pt>
                <c:pt idx="2">
                  <c:v>3360.64</c:v>
                </c:pt>
                <c:pt idx="3">
                  <c:v>4425.6099999999997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65-42DD-8E90-8721295241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5228016"/>
        <c:axId val="495221296"/>
      </c:barChart>
      <c:catAx>
        <c:axId val="495228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221296"/>
        <c:crosses val="autoZero"/>
        <c:auto val="1"/>
        <c:lblAlgn val="ctr"/>
        <c:lblOffset val="100"/>
        <c:noMultiLvlLbl val="0"/>
      </c:catAx>
      <c:valAx>
        <c:axId val="49522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22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942ED0-B56E-BDB3-4A78-9C6F6E07B0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304800</xdr:colOff>
      <xdr:row>3</xdr:row>
      <xdr:rowOff>171450</xdr:rowOff>
    </xdr:from>
    <xdr:to>
      <xdr:col>13</xdr:col>
      <xdr:colOff>99060</xdr:colOff>
      <xdr:row>21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D4E329-481C-2480-D339-5A316436A2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220980</xdr:colOff>
      <xdr:row>5</xdr:row>
      <xdr:rowOff>148590</xdr:rowOff>
    </xdr:from>
    <xdr:to>
      <xdr:col>13</xdr:col>
      <xdr:colOff>243840</xdr:colOff>
      <xdr:row>22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6D202E-5042-159C-C2BF-5345382106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shwat Saxena" refreshedDate="46182.202464930553" createdVersion="8" refreshedVersion="8" minRefreshableVersion="3" recordCount="60" xr:uid="{1AC644F7-2559-48AE-8B11-BC4BEAD96073}">
  <cacheSource type="worksheet">
    <worksheetSource ref="A1:I61" sheet="Sales_Data"/>
  </cacheSource>
  <cacheFields count="11">
    <cacheField name="Order ID" numFmtId="0">
      <sharedItems/>
    </cacheField>
    <cacheField name="Order Date" numFmtId="164">
      <sharedItems containsSemiMixedTypes="0" containsNonDate="0" containsDate="1" containsString="0" minDate="2025-01-01T00:00:00" maxDate="2025-12-19T00:00:00" count="55">
        <d v="2025-10-22T00:00:00"/>
        <d v="2025-04-16T00:00:00"/>
        <d v="2025-09-23T00:00:00"/>
        <d v="2025-02-02T00:00:00"/>
        <d v="2025-08-22T00:00:00"/>
        <d v="2025-01-01T00:00:00"/>
        <d v="2025-08-28T00:00:00"/>
        <d v="2025-10-21T00:00:00"/>
        <d v="2025-07-15T00:00:00"/>
        <d v="2025-08-23T00:00:00"/>
        <d v="2025-01-18T00:00:00"/>
        <d v="2025-04-20T00:00:00"/>
        <d v="2025-01-22T00:00:00"/>
        <d v="2025-05-24T00:00:00"/>
        <d v="2025-05-07T00:00:00"/>
        <d v="2025-12-18T00:00:00"/>
        <d v="2025-06-13T00:00:00"/>
        <d v="2025-03-01T00:00:00"/>
        <d v="2025-02-18T00:00:00"/>
        <d v="2025-09-12T00:00:00"/>
        <d v="2025-07-28T00:00:00"/>
        <d v="2025-06-29T00:00:00"/>
        <d v="2025-02-20T00:00:00"/>
        <d v="2025-06-02T00:00:00"/>
        <d v="2025-11-22T00:00:00"/>
        <d v="2025-09-18T00:00:00"/>
        <d v="2025-09-03T00:00:00"/>
        <d v="2025-02-10T00:00:00"/>
        <d v="2025-05-05T00:00:00"/>
        <d v="2025-08-04T00:00:00"/>
        <d v="2025-10-06T00:00:00"/>
        <d v="2025-12-01T00:00:00"/>
        <d v="2025-08-14T00:00:00"/>
        <d v="2025-11-18T00:00:00"/>
        <d v="2025-07-20T00:00:00"/>
        <d v="2025-01-20T00:00:00"/>
        <d v="2025-01-04T00:00:00"/>
        <d v="2025-03-05T00:00:00"/>
        <d v="2025-09-22T00:00:00"/>
        <d v="2025-08-09T00:00:00"/>
        <d v="2025-06-22T00:00:00"/>
        <d v="2025-02-26T00:00:00"/>
        <d v="2025-10-01T00:00:00"/>
        <d v="2025-11-26T00:00:00"/>
        <d v="2025-05-11T00:00:00"/>
        <d v="2025-09-06T00:00:00"/>
        <d v="2025-08-19T00:00:00"/>
        <d v="2025-10-10T00:00:00"/>
        <d v="2025-09-13T00:00:00"/>
        <d v="2025-01-16T00:00:00"/>
        <d v="2025-08-24T00:00:00"/>
        <d v="2025-06-27T00:00:00"/>
        <d v="2025-06-24T00:00:00"/>
        <d v="2025-12-15T00:00:00"/>
        <d v="2025-07-11T00:00:00"/>
      </sharedItems>
      <fieldGroup par="10"/>
    </cacheField>
    <cacheField name="Region" numFmtId="0">
      <sharedItems count="4">
        <s v="West"/>
        <s v="North"/>
        <s v="South"/>
        <s v="East"/>
      </sharedItems>
    </cacheField>
    <cacheField name="Category" numFmtId="0">
      <sharedItems/>
    </cacheField>
    <cacheField name="Product" numFmtId="0">
      <sharedItems count="12">
        <s v="Stapler"/>
        <s v="Printer Paper"/>
        <s v="Notebook"/>
        <s v="Chair"/>
        <s v="Keyboard"/>
        <s v="Laptop"/>
        <s v="Cabinet"/>
        <s v="Mouse"/>
        <s v="Monitor"/>
        <s v="Pen"/>
        <s v="Table"/>
        <s v="Desk"/>
      </sharedItems>
    </cacheField>
    <cacheField name="Quantity" numFmtId="0">
      <sharedItems containsSemiMixedTypes="0" containsString="0" containsNumber="1" containsInteger="1" minValue="1" maxValue="10"/>
    </cacheField>
    <cacheField name="Sales" numFmtId="0">
      <sharedItems containsSemiMixedTypes="0" containsString="0" containsNumber="1" minValue="49.31" maxValue="4976.58" count="60">
        <n v="1890.5"/>
        <n v="226.84"/>
        <n v="508.61"/>
        <n v="1323.61"/>
        <n v="312.02999999999997"/>
        <n v="207.81"/>
        <n v="223.24"/>
        <n v="2037.54"/>
        <n v="195.66"/>
        <n v="824.24"/>
        <n v="291.08999999999997"/>
        <n v="442.86"/>
        <n v="1548.85"/>
        <n v="59.34"/>
        <n v="721.91"/>
        <n v="1451.89"/>
        <n v="1070.99"/>
        <n v="49.31"/>
        <n v="4976.58"/>
        <n v="666.82"/>
        <n v="111.58"/>
        <n v="155.19"/>
        <n v="302.14999999999998"/>
        <n v="2641.15"/>
        <n v="582.95000000000005"/>
        <n v="2568.46"/>
        <n v="2464.92"/>
        <n v="3979.72"/>
        <n v="110.27"/>
        <n v="3292.49"/>
        <n v="477.12"/>
        <n v="3100.55"/>
        <n v="1572.25"/>
        <n v="1232.81"/>
        <n v="1305.24"/>
        <n v="1978.27"/>
        <n v="3959.02"/>
        <n v="1802.92"/>
        <n v="1392.58"/>
        <n v="396.33"/>
        <n v="1604.09"/>
        <n v="770.26"/>
        <n v="635.04"/>
        <n v="639.39"/>
        <n v="1481.16"/>
        <n v="3916.69"/>
        <n v="2042.22"/>
        <n v="342.4"/>
        <n v="307.42"/>
        <n v="2725.26"/>
        <n v="1155.7"/>
        <n v="947.14"/>
        <n v="1912.74"/>
        <n v="775.83"/>
        <n v="407.18"/>
        <n v="2879.16"/>
        <n v="2172.8000000000002"/>
        <n v="2681.96"/>
        <n v="917.12"/>
        <n v="546.55999999999995"/>
      </sharedItems>
    </cacheField>
    <cacheField name="Profit" numFmtId="0">
      <sharedItems containsSemiMixedTypes="0" containsString="0" containsNumber="1" minValue="3.21" maxValue="1077.79"/>
    </cacheField>
    <cacheField name="profit margin" numFmtId="0">
      <sharedItems containsSemiMixedTypes="0" containsString="0" containsNumber="1" minValue="5.2991150196585117" maxValue="29.87094461373006"/>
    </cacheField>
    <cacheField name="Days (Order Date)" numFmtId="0" databaseField="0">
      <fieldGroup base="1">
        <rangePr groupBy="days" startDate="2025-01-01T00:00:00" endDate="2025-12-19T00:00:00"/>
        <groupItems count="368">
          <s v="&lt;01-0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9-12-2025"/>
        </groupItems>
      </fieldGroup>
    </cacheField>
    <cacheField name="Months (Order Date)" numFmtId="0" databaseField="0">
      <fieldGroup base="1">
        <rangePr groupBy="months" startDate="2025-01-01T00:00:00" endDate="2025-12-19T00:00:00"/>
        <groupItems count="14">
          <s v="&lt;0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9-12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shwat Saxena" refreshedDate="46194.964314930556" createdVersion="8" refreshedVersion="8" minRefreshableVersion="3" recordCount="60" xr:uid="{0CDCC262-0924-4252-9101-54C953B33E7A}">
  <cacheSource type="worksheet">
    <worksheetSource ref="A1:K61" sheet="Sales_Data"/>
  </cacheSource>
  <cacheFields count="11">
    <cacheField name="Order ID" numFmtId="0">
      <sharedItems/>
    </cacheField>
    <cacheField name="Order Date" numFmtId="164">
      <sharedItems containsSemiMixedTypes="0" containsNonDate="0" containsDate="1" containsString="0" minDate="2025-01-01T00:00:00" maxDate="2025-12-19T00:00:00"/>
    </cacheField>
    <cacheField name="Region" numFmtId="0">
      <sharedItems count="4">
        <s v="West"/>
        <s v="North"/>
        <s v="South"/>
        <s v="East"/>
      </sharedItems>
    </cacheField>
    <cacheField name="Category" numFmtId="0">
      <sharedItems/>
    </cacheField>
    <cacheField name="Product" numFmtId="0">
      <sharedItems count="12">
        <s v="Stapler"/>
        <s v="Printer Paper"/>
        <s v="Notebook"/>
        <s v="Chair"/>
        <s v="Keyboard"/>
        <s v="Laptop"/>
        <s v="Cabinet"/>
        <s v="Mouse"/>
        <s v="Monitor"/>
        <s v="Pen"/>
        <s v="Table"/>
        <s v="Desk"/>
      </sharedItems>
    </cacheField>
    <cacheField name="Quantity" numFmtId="0">
      <sharedItems containsSemiMixedTypes="0" containsString="0" containsNumber="1" containsInteger="1" minValue="1" maxValue="10"/>
    </cacheField>
    <cacheField name="Sales" numFmtId="0">
      <sharedItems containsSemiMixedTypes="0" containsString="0" containsNumber="1" minValue="49.31" maxValue="4976.58" count="60">
        <n v="1890.5"/>
        <n v="226.84"/>
        <n v="508.61"/>
        <n v="1323.61"/>
        <n v="312.02999999999997"/>
        <n v="207.81"/>
        <n v="223.24"/>
        <n v="2037.54"/>
        <n v="195.66"/>
        <n v="824.24"/>
        <n v="291.08999999999997"/>
        <n v="442.86"/>
        <n v="1548.85"/>
        <n v="59.34"/>
        <n v="721.91"/>
        <n v="1451.89"/>
        <n v="1070.99"/>
        <n v="49.31"/>
        <n v="4976.58"/>
        <n v="666.82"/>
        <n v="111.58"/>
        <n v="155.19"/>
        <n v="302.14999999999998"/>
        <n v="2641.15"/>
        <n v="582.95000000000005"/>
        <n v="2568.46"/>
        <n v="2464.92"/>
        <n v="3979.72"/>
        <n v="110.27"/>
        <n v="3292.49"/>
        <n v="477.12"/>
        <n v="3100.55"/>
        <n v="1572.25"/>
        <n v="1232.81"/>
        <n v="1305.24"/>
        <n v="1978.27"/>
        <n v="3959.02"/>
        <n v="1802.92"/>
        <n v="1392.58"/>
        <n v="396.33"/>
        <n v="1604.09"/>
        <n v="770.26"/>
        <n v="635.04"/>
        <n v="639.39"/>
        <n v="1481.16"/>
        <n v="3916.69"/>
        <n v="2042.22"/>
        <n v="342.4"/>
        <n v="307.42"/>
        <n v="2725.26"/>
        <n v="1155.7"/>
        <n v="947.14"/>
        <n v="1912.74"/>
        <n v="775.83"/>
        <n v="407.18"/>
        <n v="2879.16"/>
        <n v="2172.8000000000002"/>
        <n v="2681.96"/>
        <n v="917.12"/>
        <n v="546.55999999999995"/>
      </sharedItems>
    </cacheField>
    <cacheField name="Profit" numFmtId="0">
      <sharedItems containsSemiMixedTypes="0" containsString="0" containsNumber="1" minValue="3.21" maxValue="1077.79"/>
    </cacheField>
    <cacheField name="profit margin" numFmtId="0">
      <sharedItems containsSemiMixedTypes="0" containsString="0" containsNumber="1" minValue="5.2991150196585117" maxValue="29.87094461373006" count="60">
        <n v="16.342237503306002"/>
        <n v="8.1026274025745018"/>
        <n v="10.12367039578459"/>
        <n v="19.043373803461748"/>
        <n v="29.628561356279846"/>
        <n v="13.339107838891294"/>
        <n v="29.322702024726748"/>
        <n v="24.823070958116158"/>
        <n v="15.097618317489522"/>
        <n v="10.345287780258177"/>
        <n v="21.258030162492702"/>
        <n v="10.723479203359979"/>
        <n v="15.709074474610196"/>
        <n v="5.4095045500505554"/>
        <n v="25.386821071878767"/>
        <n v="10.929891382956008"/>
        <n v="20.817187835554019"/>
        <n v="25.430947069559924"/>
        <n v="6.9706505270687904"/>
        <n v="13.234456075102724"/>
        <n v="29.87094461373006"/>
        <n v="23.442232102583933"/>
        <n v="16.73672017209995"/>
        <n v="23.520814796584823"/>
        <n v="17.692769534265373"/>
        <n v="13.095006346215241"/>
        <n v="12.523327329081674"/>
        <n v="19.65942327600937"/>
        <n v="15.815725038541764"/>
        <n v="22.732946797104926"/>
        <n v="23.41758886653253"/>
        <n v="15.300511199625872"/>
        <n v="6.9543647638734303"/>
        <n v="20.78746927750424"/>
        <n v="25.685697649474427"/>
        <n v="10.61937955890753"/>
        <n v="21.184535566882715"/>
        <n v="20.028065582499501"/>
        <n v="13.801720547473034"/>
        <n v="27.595690459970228"/>
        <n v="14.980456208816214"/>
        <n v="6.3952431646457049"/>
        <n v="24.121315192743769"/>
        <n v="17.11005802405418"/>
        <n v="24.68605687434173"/>
        <n v="27.517878616893341"/>
        <n v="13.129829303405117"/>
        <n v="22.228387850467289"/>
        <n v="23.140979767093878"/>
        <n v="23.352634244072121"/>
        <n v="12.769749935104265"/>
        <n v="7.6113351774816813"/>
        <n v="14.93302801217102"/>
        <n v="27.216013817460009"/>
        <n v="18.66250798172798"/>
        <n v="5.2991150196585117"/>
        <n v="21.84462444771723"/>
        <n v="27.033960238034872"/>
        <n v="12.093292044661549"/>
        <n v="12.46706674473068"/>
      </sharedItems>
    </cacheField>
    <cacheField name="Field1" numFmtId="0">
      <sharedItems containsNonDate="0" containsString="0" containsBlank="1"/>
    </cacheField>
    <cacheField name="sales catego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shwat Saxena" refreshedDate="46194.982562384263" createdVersion="8" refreshedVersion="8" minRefreshableVersion="3" recordCount="10" xr:uid="{B63715E6-CA53-45B3-9919-6FCCF08FC884}">
  <cacheSource type="worksheet">
    <worksheetSource ref="E7:F17" sheet="Sheet7"/>
  </cacheSource>
  <cacheFields count="2">
    <cacheField name="Row Labels" numFmtId="0">
      <sharedItems count="10">
        <s v="Printer Paper"/>
        <s v="Keyboard"/>
        <s v="Laptop"/>
        <s v="Stapler"/>
        <s v="Chair"/>
        <s v="Notebook"/>
        <s v="Pen"/>
        <s v="Table"/>
        <s v="Desk"/>
        <s v="Mouse"/>
      </sharedItems>
    </cacheField>
    <cacheField name="Sum of Sales" numFmtId="0">
      <sharedItems containsSemiMixedTypes="0" containsString="0" containsNumber="1" minValue="4491.3999999999996" maxValue="12140.6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ORD0001"/>
    <x v="0"/>
    <x v="0"/>
    <s v="Office Supplies"/>
    <x v="0"/>
    <n v="6"/>
    <x v="0"/>
    <n v="308.95"/>
    <n v="16.342237503306002"/>
  </r>
  <r>
    <s v="ORD0002"/>
    <x v="1"/>
    <x v="1"/>
    <s v="Office Supplies"/>
    <x v="1"/>
    <n v="1"/>
    <x v="1"/>
    <n v="18.38"/>
    <n v="8.1026274025745018"/>
  </r>
  <r>
    <s v="ORD0003"/>
    <x v="2"/>
    <x v="2"/>
    <s v="Office Supplies"/>
    <x v="2"/>
    <n v="10"/>
    <x v="2"/>
    <n v="51.49"/>
    <n v="10.12367039578459"/>
  </r>
  <r>
    <s v="ORD0004"/>
    <x v="3"/>
    <x v="2"/>
    <s v="Furniture"/>
    <x v="3"/>
    <n v="5"/>
    <x v="3"/>
    <n v="252.06"/>
    <n v="19.043373803461748"/>
  </r>
  <r>
    <s v="ORD0005"/>
    <x v="4"/>
    <x v="3"/>
    <s v="Office Supplies"/>
    <x v="1"/>
    <n v="2"/>
    <x v="4"/>
    <n v="92.45"/>
    <n v="29.628561356279846"/>
  </r>
  <r>
    <s v="ORD0006"/>
    <x v="5"/>
    <x v="2"/>
    <s v="Office Supplies"/>
    <x v="1"/>
    <n v="1"/>
    <x v="5"/>
    <n v="27.72"/>
    <n v="13.339107838891294"/>
  </r>
  <r>
    <s v="ORD0007"/>
    <x v="6"/>
    <x v="2"/>
    <s v="Technology"/>
    <x v="4"/>
    <n v="6"/>
    <x v="6"/>
    <n v="65.459999999999994"/>
    <n v="29.322702024726748"/>
  </r>
  <r>
    <s v="ORD0008"/>
    <x v="7"/>
    <x v="3"/>
    <s v="Technology"/>
    <x v="5"/>
    <n v="5"/>
    <x v="7"/>
    <n v="505.78"/>
    <n v="24.823070958116158"/>
  </r>
  <r>
    <s v="ORD0009"/>
    <x v="8"/>
    <x v="2"/>
    <s v="Furniture"/>
    <x v="6"/>
    <n v="4"/>
    <x v="8"/>
    <n v="29.54"/>
    <n v="15.097618317489522"/>
  </r>
  <r>
    <s v="ORD0010"/>
    <x v="9"/>
    <x v="1"/>
    <s v="Office Supplies"/>
    <x v="0"/>
    <n v="3"/>
    <x v="9"/>
    <n v="85.27"/>
    <n v="10.345287780258177"/>
  </r>
  <r>
    <s v="ORD0011"/>
    <x v="10"/>
    <x v="1"/>
    <s v="Technology"/>
    <x v="4"/>
    <n v="1"/>
    <x v="10"/>
    <n v="61.88"/>
    <n v="21.258030162492702"/>
  </r>
  <r>
    <s v="ORD0012"/>
    <x v="11"/>
    <x v="2"/>
    <s v="Technology"/>
    <x v="7"/>
    <n v="1"/>
    <x v="11"/>
    <n v="47.49"/>
    <n v="10.723479203359979"/>
  </r>
  <r>
    <s v="ORD0013"/>
    <x v="12"/>
    <x v="2"/>
    <s v="Office Supplies"/>
    <x v="2"/>
    <n v="5"/>
    <x v="12"/>
    <n v="243.31"/>
    <n v="15.709074474610196"/>
  </r>
  <r>
    <s v="ORD0014"/>
    <x v="13"/>
    <x v="2"/>
    <s v="Office Supplies"/>
    <x v="1"/>
    <n v="1"/>
    <x v="13"/>
    <n v="3.21"/>
    <n v="5.4095045500505554"/>
  </r>
  <r>
    <s v="ORD0015"/>
    <x v="14"/>
    <x v="1"/>
    <s v="Technology"/>
    <x v="8"/>
    <n v="4"/>
    <x v="14"/>
    <n v="183.27"/>
    <n v="25.386821071878767"/>
  </r>
  <r>
    <s v="ORD0016"/>
    <x v="15"/>
    <x v="3"/>
    <s v="Office Supplies"/>
    <x v="1"/>
    <n v="7"/>
    <x v="15"/>
    <n v="158.69"/>
    <n v="10.929891382956008"/>
  </r>
  <r>
    <s v="ORD0017"/>
    <x v="16"/>
    <x v="1"/>
    <s v="Technology"/>
    <x v="7"/>
    <n v="8"/>
    <x v="16"/>
    <n v="222.95"/>
    <n v="20.817187835554019"/>
  </r>
  <r>
    <s v="ORD0018"/>
    <x v="17"/>
    <x v="1"/>
    <s v="Furniture"/>
    <x v="6"/>
    <n v="1"/>
    <x v="17"/>
    <n v="12.54"/>
    <n v="25.430947069559924"/>
  </r>
  <r>
    <s v="ORD0019"/>
    <x v="18"/>
    <x v="0"/>
    <s v="Office Supplies"/>
    <x v="1"/>
    <n v="10"/>
    <x v="18"/>
    <n v="346.9"/>
    <n v="6.9706505270687904"/>
  </r>
  <r>
    <s v="ORD0020"/>
    <x v="19"/>
    <x v="2"/>
    <s v="Furniture"/>
    <x v="6"/>
    <n v="6"/>
    <x v="19"/>
    <n v="88.25"/>
    <n v="13.234456075102724"/>
  </r>
  <r>
    <s v="ORD0021"/>
    <x v="20"/>
    <x v="1"/>
    <s v="Office Supplies"/>
    <x v="0"/>
    <n v="4"/>
    <x v="20"/>
    <n v="33.33"/>
    <n v="29.87094461373006"/>
  </r>
  <r>
    <s v="ORD0022"/>
    <x v="21"/>
    <x v="0"/>
    <s v="Technology"/>
    <x v="4"/>
    <n v="5"/>
    <x v="21"/>
    <n v="36.380000000000003"/>
    <n v="23.442232102583933"/>
  </r>
  <r>
    <s v="ORD0023"/>
    <x v="22"/>
    <x v="2"/>
    <s v="Technology"/>
    <x v="8"/>
    <n v="3"/>
    <x v="22"/>
    <n v="50.57"/>
    <n v="16.73672017209995"/>
  </r>
  <r>
    <s v="ORD0024"/>
    <x v="23"/>
    <x v="2"/>
    <s v="Furniture"/>
    <x v="3"/>
    <n v="7"/>
    <x v="23"/>
    <n v="621.22"/>
    <n v="23.520814796584823"/>
  </r>
  <r>
    <s v="ORD0025"/>
    <x v="24"/>
    <x v="3"/>
    <s v="Furniture"/>
    <x v="3"/>
    <n v="8"/>
    <x v="24"/>
    <n v="103.14"/>
    <n v="17.692769534265373"/>
  </r>
  <r>
    <s v="ORD0026"/>
    <x v="25"/>
    <x v="0"/>
    <s v="Office Supplies"/>
    <x v="0"/>
    <n v="9"/>
    <x v="25"/>
    <n v="336.34"/>
    <n v="13.095006346215241"/>
  </r>
  <r>
    <s v="ORD0027"/>
    <x v="26"/>
    <x v="0"/>
    <s v="Office Supplies"/>
    <x v="9"/>
    <n v="5"/>
    <x v="26"/>
    <n v="308.69"/>
    <n v="12.523327329081674"/>
  </r>
  <r>
    <s v="ORD0028"/>
    <x v="27"/>
    <x v="0"/>
    <s v="Furniture"/>
    <x v="10"/>
    <n v="9"/>
    <x v="27"/>
    <n v="782.39"/>
    <n v="19.65942327600937"/>
  </r>
  <r>
    <s v="ORD0029"/>
    <x v="28"/>
    <x v="1"/>
    <s v="Furniture"/>
    <x v="6"/>
    <n v="5"/>
    <x v="28"/>
    <n v="17.440000000000001"/>
    <n v="15.815725038541764"/>
  </r>
  <r>
    <s v="ORD0030"/>
    <x v="29"/>
    <x v="0"/>
    <s v="Office Supplies"/>
    <x v="2"/>
    <n v="9"/>
    <x v="29"/>
    <n v="748.48"/>
    <n v="22.732946797104926"/>
  </r>
  <r>
    <s v="ORD0031"/>
    <x v="30"/>
    <x v="1"/>
    <s v="Office Supplies"/>
    <x v="9"/>
    <n v="7"/>
    <x v="30"/>
    <n v="111.73"/>
    <n v="23.41758886653253"/>
  </r>
  <r>
    <s v="ORD0032"/>
    <x v="31"/>
    <x v="2"/>
    <s v="Technology"/>
    <x v="4"/>
    <n v="7"/>
    <x v="31"/>
    <n v="474.4"/>
    <n v="15.300511199625872"/>
  </r>
  <r>
    <s v="ORD0033"/>
    <x v="32"/>
    <x v="0"/>
    <s v="Technology"/>
    <x v="7"/>
    <n v="9"/>
    <x v="32"/>
    <n v="109.34"/>
    <n v="6.9543647638734303"/>
  </r>
  <r>
    <s v="ORD0034"/>
    <x v="33"/>
    <x v="3"/>
    <s v="Office Supplies"/>
    <x v="2"/>
    <n v="6"/>
    <x v="33"/>
    <n v="256.27"/>
    <n v="20.78746927750424"/>
  </r>
  <r>
    <s v="ORD0035"/>
    <x v="34"/>
    <x v="3"/>
    <s v="Technology"/>
    <x v="8"/>
    <n v="6"/>
    <x v="34"/>
    <n v="335.26"/>
    <n v="25.685697649474427"/>
  </r>
  <r>
    <s v="ORD0036"/>
    <x v="35"/>
    <x v="3"/>
    <s v="Furniture"/>
    <x v="11"/>
    <n v="5"/>
    <x v="35"/>
    <n v="210.08"/>
    <n v="10.61937955890753"/>
  </r>
  <r>
    <s v="ORD0037"/>
    <x v="36"/>
    <x v="2"/>
    <s v="Office Supplies"/>
    <x v="1"/>
    <n v="8"/>
    <x v="36"/>
    <n v="838.7"/>
    <n v="21.184535566882715"/>
  </r>
  <r>
    <s v="ORD0038"/>
    <x v="37"/>
    <x v="3"/>
    <s v="Furniture"/>
    <x v="11"/>
    <n v="9"/>
    <x v="37"/>
    <n v="361.09"/>
    <n v="20.028065582499501"/>
  </r>
  <r>
    <s v="ORD0039"/>
    <x v="38"/>
    <x v="0"/>
    <s v="Office Supplies"/>
    <x v="0"/>
    <n v="3"/>
    <x v="38"/>
    <n v="192.2"/>
    <n v="13.801720547473034"/>
  </r>
  <r>
    <s v="ORD0040"/>
    <x v="37"/>
    <x v="2"/>
    <s v="Office Supplies"/>
    <x v="0"/>
    <n v="1"/>
    <x v="39"/>
    <n v="109.37"/>
    <n v="27.595690459970228"/>
  </r>
  <r>
    <s v="ORD0041"/>
    <x v="39"/>
    <x v="3"/>
    <s v="Furniture"/>
    <x v="11"/>
    <n v="7"/>
    <x v="40"/>
    <n v="240.3"/>
    <n v="14.980456208816214"/>
  </r>
  <r>
    <s v="ORD0042"/>
    <x v="40"/>
    <x v="1"/>
    <s v="Technology"/>
    <x v="7"/>
    <n v="3"/>
    <x v="41"/>
    <n v="49.26"/>
    <n v="6.3952431646457049"/>
  </r>
  <r>
    <s v="ORD0043"/>
    <x v="41"/>
    <x v="2"/>
    <s v="Technology"/>
    <x v="7"/>
    <n v="4"/>
    <x v="42"/>
    <n v="153.18"/>
    <n v="24.121315192743769"/>
  </r>
  <r>
    <s v="ORD0044"/>
    <x v="35"/>
    <x v="3"/>
    <s v="Technology"/>
    <x v="4"/>
    <n v="2"/>
    <x v="43"/>
    <n v="109.4"/>
    <n v="17.11005802405418"/>
  </r>
  <r>
    <s v="ORD0045"/>
    <x v="42"/>
    <x v="1"/>
    <s v="Furniture"/>
    <x v="6"/>
    <n v="8"/>
    <x v="44"/>
    <n v="365.64"/>
    <n v="24.68605687434173"/>
  </r>
  <r>
    <s v="ORD0046"/>
    <x v="43"/>
    <x v="3"/>
    <s v="Technology"/>
    <x v="5"/>
    <n v="10"/>
    <x v="45"/>
    <n v="1077.79"/>
    <n v="27.517878616893341"/>
  </r>
  <r>
    <s v="ORD0047"/>
    <x v="44"/>
    <x v="0"/>
    <s v="Technology"/>
    <x v="4"/>
    <n v="5"/>
    <x v="46"/>
    <n v="268.14"/>
    <n v="13.129829303405117"/>
  </r>
  <r>
    <s v="ORD0048"/>
    <x v="45"/>
    <x v="2"/>
    <s v="Technology"/>
    <x v="4"/>
    <n v="1"/>
    <x v="47"/>
    <n v="76.11"/>
    <n v="22.228387850467289"/>
  </r>
  <r>
    <s v="ORD0049"/>
    <x v="46"/>
    <x v="3"/>
    <s v="Office Supplies"/>
    <x v="0"/>
    <n v="1"/>
    <x v="48"/>
    <n v="71.14"/>
    <n v="23.140979767093878"/>
  </r>
  <r>
    <s v="ORD0050"/>
    <x v="8"/>
    <x v="0"/>
    <s v="Technology"/>
    <x v="5"/>
    <n v="6"/>
    <x v="49"/>
    <n v="636.41999999999996"/>
    <n v="23.352634244072121"/>
  </r>
  <r>
    <s v="ORD0051"/>
    <x v="47"/>
    <x v="1"/>
    <s v="Office Supplies"/>
    <x v="0"/>
    <n v="3"/>
    <x v="50"/>
    <n v="147.58000000000001"/>
    <n v="12.769749935104265"/>
  </r>
  <r>
    <s v="ORD0052"/>
    <x v="48"/>
    <x v="0"/>
    <s v="Office Supplies"/>
    <x v="1"/>
    <n v="9"/>
    <x v="51"/>
    <n v="72.09"/>
    <n v="7.6113351774816813"/>
  </r>
  <r>
    <s v="ORD0053"/>
    <x v="44"/>
    <x v="3"/>
    <s v="Furniture"/>
    <x v="10"/>
    <n v="10"/>
    <x v="52"/>
    <n v="285.63"/>
    <n v="14.93302801217102"/>
  </r>
  <r>
    <s v="ORD0054"/>
    <x v="33"/>
    <x v="0"/>
    <s v="Furniture"/>
    <x v="6"/>
    <n v="9"/>
    <x v="53"/>
    <n v="211.15"/>
    <n v="27.216013817460009"/>
  </r>
  <r>
    <s v="ORD0055"/>
    <x v="49"/>
    <x v="2"/>
    <s v="Office Supplies"/>
    <x v="2"/>
    <n v="2"/>
    <x v="54"/>
    <n v="75.989999999999995"/>
    <n v="18.66250798172798"/>
  </r>
  <r>
    <s v="ORD0056"/>
    <x v="50"/>
    <x v="2"/>
    <s v="Technology"/>
    <x v="4"/>
    <n v="10"/>
    <x v="55"/>
    <n v="152.57"/>
    <n v="5.2991150196585117"/>
  </r>
  <r>
    <s v="ORD0057"/>
    <x v="51"/>
    <x v="3"/>
    <s v="Office Supplies"/>
    <x v="9"/>
    <n v="10"/>
    <x v="56"/>
    <n v="474.64"/>
    <n v="21.84462444771723"/>
  </r>
  <r>
    <s v="ORD0058"/>
    <x v="52"/>
    <x v="1"/>
    <s v="Furniture"/>
    <x v="3"/>
    <n v="8"/>
    <x v="57"/>
    <n v="725.04"/>
    <n v="27.033960238034872"/>
  </r>
  <r>
    <s v="ORD0059"/>
    <x v="53"/>
    <x v="3"/>
    <s v="Office Supplies"/>
    <x v="9"/>
    <n v="2"/>
    <x v="58"/>
    <n v="110.91"/>
    <n v="12.093292044661549"/>
  </r>
  <r>
    <s v="ORD0060"/>
    <x v="54"/>
    <x v="0"/>
    <s v="Technology"/>
    <x v="5"/>
    <n v="2"/>
    <x v="59"/>
    <n v="68.14"/>
    <n v="12.4670667447306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ORD0001"/>
    <d v="2025-10-22T00:00:00"/>
    <x v="0"/>
    <s v="Office Supplies"/>
    <x v="0"/>
    <n v="6"/>
    <x v="0"/>
    <n v="308.95"/>
    <x v="0"/>
    <m/>
    <s v="high"/>
  </r>
  <r>
    <s v="ORD0002"/>
    <d v="2025-04-16T00:00:00"/>
    <x v="1"/>
    <s v="Office Supplies"/>
    <x v="1"/>
    <n v="1"/>
    <x v="1"/>
    <n v="18.38"/>
    <x v="1"/>
    <m/>
    <s v="medium"/>
  </r>
  <r>
    <s v="ORD0003"/>
    <d v="2025-09-23T00:00:00"/>
    <x v="2"/>
    <s v="Office Supplies"/>
    <x v="2"/>
    <n v="10"/>
    <x v="2"/>
    <n v="51.49"/>
    <x v="2"/>
    <m/>
    <s v="medium"/>
  </r>
  <r>
    <s v="ORD0004"/>
    <d v="2025-02-02T00:00:00"/>
    <x v="2"/>
    <s v="Furniture"/>
    <x v="3"/>
    <n v="5"/>
    <x v="3"/>
    <n v="252.06"/>
    <x v="3"/>
    <m/>
    <s v="high"/>
  </r>
  <r>
    <s v="ORD0005"/>
    <d v="2025-08-22T00:00:00"/>
    <x v="3"/>
    <s v="Office Supplies"/>
    <x v="1"/>
    <n v="2"/>
    <x v="4"/>
    <n v="92.45"/>
    <x v="4"/>
    <m/>
    <s v="medium"/>
  </r>
  <r>
    <s v="ORD0006"/>
    <d v="2025-01-01T00:00:00"/>
    <x v="2"/>
    <s v="Office Supplies"/>
    <x v="1"/>
    <n v="1"/>
    <x v="5"/>
    <n v="27.72"/>
    <x v="5"/>
    <m/>
    <s v="medium"/>
  </r>
  <r>
    <s v="ORD0007"/>
    <d v="2025-08-28T00:00:00"/>
    <x v="2"/>
    <s v="Technology"/>
    <x v="4"/>
    <n v="6"/>
    <x v="6"/>
    <n v="65.459999999999994"/>
    <x v="6"/>
    <m/>
    <s v="medium"/>
  </r>
  <r>
    <s v="ORD0008"/>
    <d v="2025-10-21T00:00:00"/>
    <x v="3"/>
    <s v="Technology"/>
    <x v="5"/>
    <n v="5"/>
    <x v="7"/>
    <n v="505.78"/>
    <x v="7"/>
    <m/>
    <s v="high"/>
  </r>
  <r>
    <s v="ORD0009"/>
    <d v="2025-07-15T00:00:00"/>
    <x v="2"/>
    <s v="Furniture"/>
    <x v="6"/>
    <n v="4"/>
    <x v="8"/>
    <n v="29.54"/>
    <x v="8"/>
    <m/>
    <s v="medium"/>
  </r>
  <r>
    <s v="ORD0010"/>
    <d v="2025-08-23T00:00:00"/>
    <x v="1"/>
    <s v="Office Supplies"/>
    <x v="0"/>
    <n v="3"/>
    <x v="9"/>
    <n v="85.27"/>
    <x v="9"/>
    <m/>
    <s v="medium"/>
  </r>
  <r>
    <s v="ORD0011"/>
    <d v="2025-01-18T00:00:00"/>
    <x v="1"/>
    <s v="Technology"/>
    <x v="4"/>
    <n v="1"/>
    <x v="10"/>
    <n v="61.88"/>
    <x v="10"/>
    <m/>
    <s v="medium"/>
  </r>
  <r>
    <s v="ORD0012"/>
    <d v="2025-04-20T00:00:00"/>
    <x v="2"/>
    <s v="Technology"/>
    <x v="7"/>
    <n v="1"/>
    <x v="11"/>
    <n v="47.49"/>
    <x v="11"/>
    <m/>
    <s v="medium"/>
  </r>
  <r>
    <s v="ORD0013"/>
    <d v="2025-01-22T00:00:00"/>
    <x v="2"/>
    <s v="Office Supplies"/>
    <x v="2"/>
    <n v="5"/>
    <x v="12"/>
    <n v="243.31"/>
    <x v="12"/>
    <m/>
    <s v="high"/>
  </r>
  <r>
    <s v="ORD0014"/>
    <d v="2025-05-24T00:00:00"/>
    <x v="2"/>
    <s v="Office Supplies"/>
    <x v="1"/>
    <n v="1"/>
    <x v="13"/>
    <n v="3.21"/>
    <x v="13"/>
    <m/>
    <s v="medium"/>
  </r>
  <r>
    <s v="ORD0015"/>
    <d v="2025-05-07T00:00:00"/>
    <x v="1"/>
    <s v="Technology"/>
    <x v="8"/>
    <n v="4"/>
    <x v="14"/>
    <n v="183.27"/>
    <x v="14"/>
    <m/>
    <s v="medium"/>
  </r>
  <r>
    <s v="ORD0016"/>
    <d v="2025-12-18T00:00:00"/>
    <x v="3"/>
    <s v="Office Supplies"/>
    <x v="1"/>
    <n v="7"/>
    <x v="15"/>
    <n v="158.69"/>
    <x v="15"/>
    <m/>
    <s v="high"/>
  </r>
  <r>
    <s v="ORD0017"/>
    <d v="2025-06-13T00:00:00"/>
    <x v="1"/>
    <s v="Technology"/>
    <x v="7"/>
    <n v="8"/>
    <x v="16"/>
    <n v="222.95"/>
    <x v="16"/>
    <m/>
    <s v="high"/>
  </r>
  <r>
    <s v="ORD0018"/>
    <d v="2025-03-01T00:00:00"/>
    <x v="1"/>
    <s v="Furniture"/>
    <x v="6"/>
    <n v="1"/>
    <x v="17"/>
    <n v="12.54"/>
    <x v="17"/>
    <m/>
    <s v="medium"/>
  </r>
  <r>
    <s v="ORD0019"/>
    <d v="2025-02-18T00:00:00"/>
    <x v="0"/>
    <s v="Office Supplies"/>
    <x v="1"/>
    <n v="10"/>
    <x v="18"/>
    <n v="346.9"/>
    <x v="18"/>
    <m/>
    <s v="high"/>
  </r>
  <r>
    <s v="ORD0020"/>
    <d v="2025-09-12T00:00:00"/>
    <x v="2"/>
    <s v="Furniture"/>
    <x v="6"/>
    <n v="6"/>
    <x v="19"/>
    <n v="88.25"/>
    <x v="19"/>
    <m/>
    <s v="medium"/>
  </r>
  <r>
    <s v="ORD0021"/>
    <d v="2025-07-28T00:00:00"/>
    <x v="1"/>
    <s v="Office Supplies"/>
    <x v="0"/>
    <n v="4"/>
    <x v="20"/>
    <n v="33.33"/>
    <x v="20"/>
    <m/>
    <s v="medium"/>
  </r>
  <r>
    <s v="ORD0022"/>
    <d v="2025-06-29T00:00:00"/>
    <x v="0"/>
    <s v="Technology"/>
    <x v="4"/>
    <n v="5"/>
    <x v="21"/>
    <n v="36.380000000000003"/>
    <x v="21"/>
    <m/>
    <s v="medium"/>
  </r>
  <r>
    <s v="ORD0023"/>
    <d v="2025-02-20T00:00:00"/>
    <x v="2"/>
    <s v="Technology"/>
    <x v="8"/>
    <n v="3"/>
    <x v="22"/>
    <n v="50.57"/>
    <x v="22"/>
    <m/>
    <s v="medium"/>
  </r>
  <r>
    <s v="ORD0024"/>
    <d v="2025-06-02T00:00:00"/>
    <x v="2"/>
    <s v="Furniture"/>
    <x v="3"/>
    <n v="7"/>
    <x v="23"/>
    <n v="621.22"/>
    <x v="23"/>
    <m/>
    <s v="high"/>
  </r>
  <r>
    <s v="ORD0025"/>
    <d v="2025-11-22T00:00:00"/>
    <x v="3"/>
    <s v="Furniture"/>
    <x v="3"/>
    <n v="8"/>
    <x v="24"/>
    <n v="103.14"/>
    <x v="24"/>
    <m/>
    <s v="medium"/>
  </r>
  <r>
    <s v="ORD0026"/>
    <d v="2025-09-18T00:00:00"/>
    <x v="0"/>
    <s v="Office Supplies"/>
    <x v="0"/>
    <n v="9"/>
    <x v="25"/>
    <n v="336.34"/>
    <x v="25"/>
    <m/>
    <s v="high"/>
  </r>
  <r>
    <s v="ORD0027"/>
    <d v="2025-09-03T00:00:00"/>
    <x v="0"/>
    <s v="Office Supplies"/>
    <x v="9"/>
    <n v="5"/>
    <x v="26"/>
    <n v="308.69"/>
    <x v="26"/>
    <m/>
    <s v="high"/>
  </r>
  <r>
    <s v="ORD0028"/>
    <d v="2025-02-10T00:00:00"/>
    <x v="0"/>
    <s v="Furniture"/>
    <x v="10"/>
    <n v="9"/>
    <x v="27"/>
    <n v="782.39"/>
    <x v="27"/>
    <m/>
    <s v="high"/>
  </r>
  <r>
    <s v="ORD0029"/>
    <d v="2025-05-05T00:00:00"/>
    <x v="1"/>
    <s v="Furniture"/>
    <x v="6"/>
    <n v="5"/>
    <x v="28"/>
    <n v="17.440000000000001"/>
    <x v="28"/>
    <m/>
    <s v="medium"/>
  </r>
  <r>
    <s v="ORD0030"/>
    <d v="2025-08-04T00:00:00"/>
    <x v="0"/>
    <s v="Office Supplies"/>
    <x v="2"/>
    <n v="9"/>
    <x v="29"/>
    <n v="748.48"/>
    <x v="29"/>
    <m/>
    <s v="high"/>
  </r>
  <r>
    <s v="ORD0031"/>
    <d v="2025-10-06T00:00:00"/>
    <x v="1"/>
    <s v="Office Supplies"/>
    <x v="9"/>
    <n v="7"/>
    <x v="30"/>
    <n v="111.73"/>
    <x v="30"/>
    <m/>
    <s v="medium"/>
  </r>
  <r>
    <s v="ORD0032"/>
    <d v="2025-12-01T00:00:00"/>
    <x v="2"/>
    <s v="Technology"/>
    <x v="4"/>
    <n v="7"/>
    <x v="31"/>
    <n v="474.4"/>
    <x v="31"/>
    <m/>
    <s v="high"/>
  </r>
  <r>
    <s v="ORD0033"/>
    <d v="2025-08-14T00:00:00"/>
    <x v="0"/>
    <s v="Technology"/>
    <x v="7"/>
    <n v="9"/>
    <x v="32"/>
    <n v="109.34"/>
    <x v="32"/>
    <m/>
    <s v="high"/>
  </r>
  <r>
    <s v="ORD0034"/>
    <d v="2025-11-18T00:00:00"/>
    <x v="3"/>
    <s v="Office Supplies"/>
    <x v="2"/>
    <n v="6"/>
    <x v="33"/>
    <n v="256.27"/>
    <x v="33"/>
    <m/>
    <s v="high"/>
  </r>
  <r>
    <s v="ORD0035"/>
    <d v="2025-07-20T00:00:00"/>
    <x v="3"/>
    <s v="Technology"/>
    <x v="8"/>
    <n v="6"/>
    <x v="34"/>
    <n v="335.26"/>
    <x v="34"/>
    <m/>
    <s v="high"/>
  </r>
  <r>
    <s v="ORD0036"/>
    <d v="2025-01-20T00:00:00"/>
    <x v="3"/>
    <s v="Furniture"/>
    <x v="11"/>
    <n v="5"/>
    <x v="35"/>
    <n v="210.08"/>
    <x v="35"/>
    <m/>
    <s v="high"/>
  </r>
  <r>
    <s v="ORD0037"/>
    <d v="2025-01-04T00:00:00"/>
    <x v="2"/>
    <s v="Office Supplies"/>
    <x v="1"/>
    <n v="8"/>
    <x v="36"/>
    <n v="838.7"/>
    <x v="36"/>
    <m/>
    <s v="high"/>
  </r>
  <r>
    <s v="ORD0038"/>
    <d v="2025-03-05T00:00:00"/>
    <x v="3"/>
    <s v="Furniture"/>
    <x v="11"/>
    <n v="9"/>
    <x v="37"/>
    <n v="361.09"/>
    <x v="37"/>
    <m/>
    <s v="high"/>
  </r>
  <r>
    <s v="ORD0039"/>
    <d v="2025-09-22T00:00:00"/>
    <x v="0"/>
    <s v="Office Supplies"/>
    <x v="0"/>
    <n v="3"/>
    <x v="38"/>
    <n v="192.2"/>
    <x v="38"/>
    <m/>
    <s v="high"/>
  </r>
  <r>
    <s v="ORD0040"/>
    <d v="2025-03-05T00:00:00"/>
    <x v="2"/>
    <s v="Office Supplies"/>
    <x v="0"/>
    <n v="1"/>
    <x v="39"/>
    <n v="109.37"/>
    <x v="39"/>
    <m/>
    <s v="medium"/>
  </r>
  <r>
    <s v="ORD0041"/>
    <d v="2025-08-09T00:00:00"/>
    <x v="3"/>
    <s v="Furniture"/>
    <x v="11"/>
    <n v="7"/>
    <x v="40"/>
    <n v="240.3"/>
    <x v="40"/>
    <m/>
    <s v="high"/>
  </r>
  <r>
    <s v="ORD0042"/>
    <d v="2025-06-22T00:00:00"/>
    <x v="1"/>
    <s v="Technology"/>
    <x v="7"/>
    <n v="3"/>
    <x v="41"/>
    <n v="49.26"/>
    <x v="41"/>
    <m/>
    <s v="medium"/>
  </r>
  <r>
    <s v="ORD0043"/>
    <d v="2025-02-26T00:00:00"/>
    <x v="2"/>
    <s v="Technology"/>
    <x v="7"/>
    <n v="4"/>
    <x v="42"/>
    <n v="153.18"/>
    <x v="42"/>
    <m/>
    <s v="medium"/>
  </r>
  <r>
    <s v="ORD0044"/>
    <d v="2025-01-20T00:00:00"/>
    <x v="3"/>
    <s v="Technology"/>
    <x v="4"/>
    <n v="2"/>
    <x v="43"/>
    <n v="109.4"/>
    <x v="43"/>
    <m/>
    <s v="medium"/>
  </r>
  <r>
    <s v="ORD0045"/>
    <d v="2025-10-01T00:00:00"/>
    <x v="1"/>
    <s v="Furniture"/>
    <x v="6"/>
    <n v="8"/>
    <x v="44"/>
    <n v="365.64"/>
    <x v="44"/>
    <m/>
    <s v="high"/>
  </r>
  <r>
    <s v="ORD0046"/>
    <d v="2025-11-26T00:00:00"/>
    <x v="3"/>
    <s v="Technology"/>
    <x v="5"/>
    <n v="10"/>
    <x v="45"/>
    <n v="1077.79"/>
    <x v="45"/>
    <m/>
    <s v="high"/>
  </r>
  <r>
    <s v="ORD0047"/>
    <d v="2025-05-11T00:00:00"/>
    <x v="0"/>
    <s v="Technology"/>
    <x v="4"/>
    <n v="5"/>
    <x v="46"/>
    <n v="268.14"/>
    <x v="46"/>
    <m/>
    <s v="high"/>
  </r>
  <r>
    <s v="ORD0048"/>
    <d v="2025-09-06T00:00:00"/>
    <x v="2"/>
    <s v="Technology"/>
    <x v="4"/>
    <n v="1"/>
    <x v="47"/>
    <n v="76.11"/>
    <x v="47"/>
    <m/>
    <s v="medium"/>
  </r>
  <r>
    <s v="ORD0049"/>
    <d v="2025-08-19T00:00:00"/>
    <x v="3"/>
    <s v="Office Supplies"/>
    <x v="0"/>
    <n v="1"/>
    <x v="48"/>
    <n v="71.14"/>
    <x v="48"/>
    <m/>
    <s v="medium"/>
  </r>
  <r>
    <s v="ORD0050"/>
    <d v="2025-07-15T00:00:00"/>
    <x v="0"/>
    <s v="Technology"/>
    <x v="5"/>
    <n v="6"/>
    <x v="49"/>
    <n v="636.41999999999996"/>
    <x v="49"/>
    <m/>
    <s v="high"/>
  </r>
  <r>
    <s v="ORD0051"/>
    <d v="2025-10-10T00:00:00"/>
    <x v="1"/>
    <s v="Office Supplies"/>
    <x v="0"/>
    <n v="3"/>
    <x v="50"/>
    <n v="147.58000000000001"/>
    <x v="50"/>
    <m/>
    <s v="high"/>
  </r>
  <r>
    <s v="ORD0052"/>
    <d v="2025-09-13T00:00:00"/>
    <x v="0"/>
    <s v="Office Supplies"/>
    <x v="1"/>
    <n v="9"/>
    <x v="51"/>
    <n v="72.09"/>
    <x v="51"/>
    <m/>
    <s v="medium"/>
  </r>
  <r>
    <s v="ORD0053"/>
    <d v="2025-05-11T00:00:00"/>
    <x v="3"/>
    <s v="Furniture"/>
    <x v="10"/>
    <n v="10"/>
    <x v="52"/>
    <n v="285.63"/>
    <x v="52"/>
    <m/>
    <s v="high"/>
  </r>
  <r>
    <s v="ORD0054"/>
    <d v="2025-11-18T00:00:00"/>
    <x v="0"/>
    <s v="Furniture"/>
    <x v="6"/>
    <n v="9"/>
    <x v="53"/>
    <n v="211.15"/>
    <x v="53"/>
    <m/>
    <s v="medium"/>
  </r>
  <r>
    <s v="ORD0055"/>
    <d v="2025-01-16T00:00:00"/>
    <x v="2"/>
    <s v="Office Supplies"/>
    <x v="2"/>
    <n v="2"/>
    <x v="54"/>
    <n v="75.989999999999995"/>
    <x v="54"/>
    <m/>
    <s v="medium"/>
  </r>
  <r>
    <s v="ORD0056"/>
    <d v="2025-08-24T00:00:00"/>
    <x v="2"/>
    <s v="Technology"/>
    <x v="4"/>
    <n v="10"/>
    <x v="55"/>
    <n v="152.57"/>
    <x v="55"/>
    <m/>
    <s v="high"/>
  </r>
  <r>
    <s v="ORD0057"/>
    <d v="2025-06-27T00:00:00"/>
    <x v="3"/>
    <s v="Office Supplies"/>
    <x v="9"/>
    <n v="10"/>
    <x v="56"/>
    <n v="474.64"/>
    <x v="56"/>
    <m/>
    <s v="high"/>
  </r>
  <r>
    <s v="ORD0058"/>
    <d v="2025-06-24T00:00:00"/>
    <x v="1"/>
    <s v="Furniture"/>
    <x v="3"/>
    <n v="8"/>
    <x v="57"/>
    <n v="725.04"/>
    <x v="57"/>
    <m/>
    <s v="high"/>
  </r>
  <r>
    <s v="ORD0059"/>
    <d v="2025-12-15T00:00:00"/>
    <x v="3"/>
    <s v="Office Supplies"/>
    <x v="9"/>
    <n v="2"/>
    <x v="58"/>
    <n v="110.91"/>
    <x v="58"/>
    <m/>
    <s v="medium"/>
  </r>
  <r>
    <s v="ORD0060"/>
    <d v="2025-07-11T00:00:00"/>
    <x v="0"/>
    <s v="Technology"/>
    <x v="5"/>
    <n v="2"/>
    <x v="59"/>
    <n v="68.14"/>
    <x v="59"/>
    <m/>
    <s v="medium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n v="12140.65"/>
  </r>
  <r>
    <x v="1"/>
    <n v="9673.24"/>
  </r>
  <r>
    <x v="2"/>
    <n v="9226.0499999999993"/>
  </r>
  <r>
    <x v="3"/>
    <n v="8646.81"/>
  </r>
  <r>
    <x v="4"/>
    <n v="7229.67"/>
  </r>
  <r>
    <x v="5"/>
    <n v="6989.9400000000005"/>
  </r>
  <r>
    <x v="6"/>
    <n v="6031.96"/>
  </r>
  <r>
    <x v="7"/>
    <n v="5892.46"/>
  </r>
  <r>
    <x v="8"/>
    <n v="5385.28"/>
  </r>
  <r>
    <x v="9"/>
    <n v="4491.39999999999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BB6842-0213-4C7E-AE23-199CE842A62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1">
    <pivotField showAll="0"/>
    <pivotField numFmtId="164" showAll="0">
      <items count="56">
        <item x="5"/>
        <item x="36"/>
        <item x="49"/>
        <item x="10"/>
        <item x="35"/>
        <item x="12"/>
        <item x="3"/>
        <item x="27"/>
        <item x="18"/>
        <item x="22"/>
        <item x="41"/>
        <item x="17"/>
        <item x="37"/>
        <item x="1"/>
        <item x="11"/>
        <item x="28"/>
        <item x="14"/>
        <item x="44"/>
        <item x="13"/>
        <item x="23"/>
        <item x="16"/>
        <item x="40"/>
        <item x="52"/>
        <item x="51"/>
        <item x="21"/>
        <item x="54"/>
        <item x="8"/>
        <item x="34"/>
        <item x="20"/>
        <item x="29"/>
        <item x="39"/>
        <item x="32"/>
        <item x="46"/>
        <item x="4"/>
        <item x="9"/>
        <item x="50"/>
        <item x="6"/>
        <item x="26"/>
        <item x="45"/>
        <item x="19"/>
        <item x="48"/>
        <item x="25"/>
        <item x="38"/>
        <item x="2"/>
        <item x="42"/>
        <item x="30"/>
        <item x="47"/>
        <item x="7"/>
        <item x="0"/>
        <item x="33"/>
        <item x="24"/>
        <item x="43"/>
        <item x="31"/>
        <item x="53"/>
        <item x="15"/>
        <item t="default"/>
      </items>
    </pivotField>
    <pivotField axis="axisRow" showAll="0">
      <items count="5">
        <item x="3"/>
        <item x="1"/>
        <item x="2"/>
        <item x="0"/>
        <item t="default"/>
      </items>
    </pivotField>
    <pivotField showAll="0"/>
    <pivotField showAll="0">
      <items count="13">
        <item x="6"/>
        <item x="3"/>
        <item x="11"/>
        <item x="4"/>
        <item x="5"/>
        <item x="8"/>
        <item x="7"/>
        <item x="2"/>
        <item x="9"/>
        <item x="1"/>
        <item x="0"/>
        <item x="10"/>
        <item t="default"/>
      </items>
    </pivotField>
    <pivotField showAll="0"/>
    <pivotField dataField="1" showAll="0">
      <items count="61">
        <item x="17"/>
        <item x="13"/>
        <item x="28"/>
        <item x="20"/>
        <item x="21"/>
        <item x="8"/>
        <item x="5"/>
        <item x="6"/>
        <item x="1"/>
        <item x="10"/>
        <item x="22"/>
        <item x="48"/>
        <item x="4"/>
        <item x="47"/>
        <item x="39"/>
        <item x="54"/>
        <item x="11"/>
        <item x="30"/>
        <item x="2"/>
        <item x="59"/>
        <item x="24"/>
        <item x="42"/>
        <item x="43"/>
        <item x="19"/>
        <item x="14"/>
        <item x="41"/>
        <item x="53"/>
        <item x="9"/>
        <item x="58"/>
        <item x="51"/>
        <item x="16"/>
        <item x="50"/>
        <item x="33"/>
        <item x="34"/>
        <item x="3"/>
        <item x="38"/>
        <item x="15"/>
        <item x="44"/>
        <item x="12"/>
        <item x="32"/>
        <item x="40"/>
        <item x="37"/>
        <item x="0"/>
        <item x="52"/>
        <item x="35"/>
        <item x="7"/>
        <item x="46"/>
        <item x="56"/>
        <item x="26"/>
        <item x="25"/>
        <item x="23"/>
        <item x="57"/>
        <item x="49"/>
        <item x="55"/>
        <item x="31"/>
        <item x="29"/>
        <item x="45"/>
        <item x="36"/>
        <item x="27"/>
        <item x="18"/>
        <item t="default"/>
      </items>
    </pivotField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036F44-2378-4DFE-B2C4-913C5CB90C1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11">
    <pivotField showAll="0"/>
    <pivotField numFmtId="164" showAll="0">
      <items count="56">
        <item x="5"/>
        <item x="36"/>
        <item x="49"/>
        <item x="10"/>
        <item x="35"/>
        <item x="12"/>
        <item x="3"/>
        <item x="27"/>
        <item x="18"/>
        <item x="22"/>
        <item x="41"/>
        <item x="17"/>
        <item x="37"/>
        <item x="1"/>
        <item x="11"/>
        <item x="28"/>
        <item x="14"/>
        <item x="44"/>
        <item x="13"/>
        <item x="23"/>
        <item x="16"/>
        <item x="40"/>
        <item x="52"/>
        <item x="51"/>
        <item x="21"/>
        <item x="54"/>
        <item x="8"/>
        <item x="34"/>
        <item x="20"/>
        <item x="29"/>
        <item x="39"/>
        <item x="32"/>
        <item x="46"/>
        <item x="4"/>
        <item x="9"/>
        <item x="50"/>
        <item x="6"/>
        <item x="26"/>
        <item x="45"/>
        <item x="19"/>
        <item x="48"/>
        <item x="25"/>
        <item x="38"/>
        <item x="2"/>
        <item x="42"/>
        <item x="30"/>
        <item x="47"/>
        <item x="7"/>
        <item x="0"/>
        <item x="33"/>
        <item x="24"/>
        <item x="43"/>
        <item x="31"/>
        <item x="53"/>
        <item x="15"/>
        <item t="default"/>
      </items>
    </pivotField>
    <pivotField showAll="0"/>
    <pivotField showAll="0"/>
    <pivotField axis="axisRow" showAll="0" sortType="descending">
      <items count="13">
        <item x="6"/>
        <item x="3"/>
        <item x="11"/>
        <item x="4"/>
        <item x="5"/>
        <item x="8"/>
        <item x="7"/>
        <item x="2"/>
        <item x="9"/>
        <item x="1"/>
        <item x="0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13">
    <i>
      <x v="9"/>
    </i>
    <i>
      <x v="3"/>
    </i>
    <i>
      <x v="4"/>
    </i>
    <i>
      <x v="10"/>
    </i>
    <i>
      <x v="1"/>
    </i>
    <i>
      <x v="7"/>
    </i>
    <i>
      <x v="8"/>
    </i>
    <i>
      <x v="11"/>
    </i>
    <i>
      <x v="2"/>
    </i>
    <i>
      <x v="6"/>
    </i>
    <i>
      <x/>
    </i>
    <i>
      <x v="5"/>
    </i>
    <i t="grand">
      <x/>
    </i>
  </rowItems>
  <colItems count="1">
    <i/>
  </colItems>
  <dataFields count="1">
    <dataField name="Sum of Sale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D6F884-EA3D-44C0-BC16-0BA228AF83E5}" name="PivotTable5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12" firstHeaderRow="1" firstDataRow="1" firstDataCol="1"/>
  <pivotFields count="2">
    <pivotField axis="axisRow" showAll="0" sortType="descending">
      <items count="11">
        <item x="4"/>
        <item x="8"/>
        <item x="1"/>
        <item x="2"/>
        <item x="9"/>
        <item x="5"/>
        <item x="6"/>
        <item x="0"/>
        <item x="3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11">
    <i>
      <x v="7"/>
    </i>
    <i>
      <x v="2"/>
    </i>
    <i>
      <x v="3"/>
    </i>
    <i>
      <x v="8"/>
    </i>
    <i>
      <x/>
    </i>
    <i>
      <x v="5"/>
    </i>
    <i>
      <x v="6"/>
    </i>
    <i>
      <x v="9"/>
    </i>
    <i>
      <x v="1"/>
    </i>
    <i>
      <x v="4"/>
    </i>
    <i t="grand">
      <x/>
    </i>
  </rowItems>
  <colItems count="1">
    <i/>
  </colItems>
  <dataFields count="1">
    <dataField name="Sum of Sum of Sales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659781-333D-4A5F-95F4-238066CDA8A9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6" firstHeaderRow="1" firstDataRow="1" firstDataCol="1"/>
  <pivotFields count="11">
    <pivotField showAll="0"/>
    <pivotField axis="axisRow" numFmtId="164" showAll="0">
      <items count="56">
        <item x="5"/>
        <item x="36"/>
        <item x="49"/>
        <item x="10"/>
        <item x="35"/>
        <item x="12"/>
        <item x="3"/>
        <item x="27"/>
        <item x="18"/>
        <item x="22"/>
        <item x="41"/>
        <item x="17"/>
        <item x="37"/>
        <item x="1"/>
        <item x="11"/>
        <item x="28"/>
        <item x="14"/>
        <item x="44"/>
        <item x="13"/>
        <item x="23"/>
        <item x="16"/>
        <item x="40"/>
        <item x="52"/>
        <item x="51"/>
        <item x="21"/>
        <item x="54"/>
        <item x="8"/>
        <item x="34"/>
        <item x="20"/>
        <item x="29"/>
        <item x="39"/>
        <item x="32"/>
        <item x="46"/>
        <item x="4"/>
        <item x="9"/>
        <item x="50"/>
        <item x="6"/>
        <item x="26"/>
        <item x="45"/>
        <item x="19"/>
        <item x="48"/>
        <item x="25"/>
        <item x="38"/>
        <item x="2"/>
        <item x="42"/>
        <item x="30"/>
        <item x="47"/>
        <item x="7"/>
        <item x="0"/>
        <item x="33"/>
        <item x="24"/>
        <item x="43"/>
        <item x="31"/>
        <item x="53"/>
        <item x="15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0"/>
    <field x="9"/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58F713-0663-41F2-9BAF-FC01C9B62F4E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11">
    <pivotField showAll="0"/>
    <pivotField numFmtId="164" showAll="0"/>
    <pivotField showAll="0"/>
    <pivotField showAll="0"/>
    <pivotField axis="axisRow" showAll="0">
      <items count="13">
        <item x="6"/>
        <item x="3"/>
        <item x="11"/>
        <item x="4"/>
        <item x="5"/>
        <item x="8"/>
        <item x="7"/>
        <item x="2"/>
        <item x="9"/>
        <item x="1"/>
        <item x="0"/>
        <item x="10"/>
        <item t="default"/>
      </items>
    </pivotField>
    <pivotField showAll="0"/>
    <pivotField showAll="0">
      <items count="61">
        <item x="17"/>
        <item x="13"/>
        <item x="28"/>
        <item x="20"/>
        <item x="21"/>
        <item x="8"/>
        <item x="5"/>
        <item x="6"/>
        <item x="1"/>
        <item x="10"/>
        <item x="22"/>
        <item x="48"/>
        <item x="4"/>
        <item x="47"/>
        <item x="39"/>
        <item x="54"/>
        <item x="11"/>
        <item x="30"/>
        <item x="2"/>
        <item x="59"/>
        <item x="24"/>
        <item x="42"/>
        <item x="43"/>
        <item x="19"/>
        <item x="14"/>
        <item x="41"/>
        <item x="53"/>
        <item x="9"/>
        <item x="58"/>
        <item x="51"/>
        <item x="16"/>
        <item x="50"/>
        <item x="33"/>
        <item x="34"/>
        <item x="3"/>
        <item x="38"/>
        <item x="15"/>
        <item x="44"/>
        <item x="12"/>
        <item x="32"/>
        <item x="40"/>
        <item x="37"/>
        <item x="0"/>
        <item x="52"/>
        <item x="35"/>
        <item x="7"/>
        <item x="46"/>
        <item x="56"/>
        <item x="26"/>
        <item x="25"/>
        <item x="23"/>
        <item x="57"/>
        <item x="49"/>
        <item x="55"/>
        <item x="31"/>
        <item x="29"/>
        <item x="45"/>
        <item x="36"/>
        <item x="27"/>
        <item x="18"/>
        <item t="default"/>
      </items>
    </pivotField>
    <pivotField dataField="1" showAll="0"/>
    <pivotField showAll="0"/>
    <pivotField showAll="0"/>
    <pivotField showAl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Profi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10FFC6-7EB1-4B17-87D5-F99F51715B91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11">
    <pivotField showAll="0"/>
    <pivotField numFmtId="164" showAll="0"/>
    <pivotField showAll="0"/>
    <pivotField showAll="0"/>
    <pivotField axis="axisRow" showAll="0">
      <items count="13">
        <item x="6"/>
        <item x="3"/>
        <item x="11"/>
        <item x="4"/>
        <item x="5"/>
        <item x="8"/>
        <item x="7"/>
        <item x="2"/>
        <item x="9"/>
        <item x="1"/>
        <item x="0"/>
        <item x="10"/>
        <item t="default"/>
      </items>
    </pivotField>
    <pivotField showAll="0"/>
    <pivotField showAll="0"/>
    <pivotField showAll="0"/>
    <pivotField dataField="1" showAll="0">
      <items count="61">
        <item x="55"/>
        <item x="13"/>
        <item x="41"/>
        <item x="32"/>
        <item x="18"/>
        <item x="51"/>
        <item x="1"/>
        <item x="2"/>
        <item x="9"/>
        <item x="35"/>
        <item x="11"/>
        <item x="15"/>
        <item x="58"/>
        <item x="59"/>
        <item x="26"/>
        <item x="50"/>
        <item x="25"/>
        <item x="46"/>
        <item x="19"/>
        <item x="5"/>
        <item x="38"/>
        <item x="52"/>
        <item x="40"/>
        <item x="8"/>
        <item x="31"/>
        <item x="12"/>
        <item x="28"/>
        <item x="0"/>
        <item x="22"/>
        <item x="43"/>
        <item x="24"/>
        <item x="54"/>
        <item x="3"/>
        <item x="27"/>
        <item x="37"/>
        <item x="33"/>
        <item x="16"/>
        <item x="36"/>
        <item x="10"/>
        <item x="56"/>
        <item x="47"/>
        <item x="29"/>
        <item x="48"/>
        <item x="49"/>
        <item x="30"/>
        <item x="21"/>
        <item x="23"/>
        <item x="42"/>
        <item x="44"/>
        <item x="7"/>
        <item x="14"/>
        <item x="17"/>
        <item x="34"/>
        <item x="57"/>
        <item x="53"/>
        <item x="45"/>
        <item x="39"/>
        <item x="6"/>
        <item x="4"/>
        <item x="20"/>
        <item t="default"/>
      </items>
    </pivotField>
    <pivotField showAll="0"/>
    <pivotField showAl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Average of profit margin" fld="8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532445-0606-4AE2-BBE1-B7FAFF283FB6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11">
    <pivotField showAll="0"/>
    <pivotField numFmtId="164" showAll="0"/>
    <pivotField showAll="0"/>
    <pivotField showAll="0"/>
    <pivotField axis="axisRow" showAll="0">
      <items count="13">
        <item x="6"/>
        <item x="3"/>
        <item x="11"/>
        <item x="4"/>
        <item x="5"/>
        <item x="8"/>
        <item x="7"/>
        <item x="2"/>
        <item x="9"/>
        <item x="1"/>
        <item x="0"/>
        <item x="10"/>
        <item t="default"/>
      </items>
    </pivotField>
    <pivotField dataField="1" showAll="0"/>
    <pivotField showAll="0"/>
    <pivotField showAll="0"/>
    <pivotField showAll="0"/>
    <pivotField showAll="0"/>
    <pivotField showAl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Quantity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B5D8F9-6482-4857-86AD-3D13920B11D6}" name="PivotTable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11">
    <pivotField showAll="0"/>
    <pivotField numFmtId="164"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EC98D-5B07-4D89-9277-48B4E2BF1C52}">
  <dimension ref="A3:B8"/>
  <sheetViews>
    <sheetView workbookViewId="0">
      <selection activeCell="C20" sqref="C20"/>
    </sheetView>
  </sheetViews>
  <sheetFormatPr defaultRowHeight="14.4" x14ac:dyDescent="0.3"/>
  <cols>
    <col min="1" max="1" width="12.5546875" bestFit="1" customWidth="1"/>
    <col min="2" max="3" width="11.6640625" bestFit="1" customWidth="1"/>
    <col min="4" max="4" width="18.109375" bestFit="1" customWidth="1"/>
    <col min="5" max="5" width="5.21875" bestFit="1" customWidth="1"/>
    <col min="6" max="6" width="10.77734375" bestFit="1" customWidth="1"/>
    <col min="7" max="7" width="9" bestFit="1" customWidth="1"/>
    <col min="8" max="8" width="11.21875" bestFit="1" customWidth="1"/>
    <col min="9" max="9" width="9" bestFit="1" customWidth="1"/>
    <col min="10" max="10" width="11.21875" bestFit="1" customWidth="1"/>
    <col min="11" max="11" width="9" bestFit="1" customWidth="1"/>
    <col min="12" max="12" width="11.21875" bestFit="1" customWidth="1"/>
    <col min="13" max="13" width="9" bestFit="1" customWidth="1"/>
    <col min="14" max="14" width="11.21875" bestFit="1" customWidth="1"/>
    <col min="15" max="15" width="9" bestFit="1" customWidth="1"/>
    <col min="16" max="16" width="11.21875" bestFit="1" customWidth="1"/>
    <col min="17" max="17" width="9" bestFit="1" customWidth="1"/>
    <col min="18" max="18" width="11.21875" bestFit="1" customWidth="1"/>
    <col min="19" max="19" width="9" bestFit="1" customWidth="1"/>
    <col min="20" max="20" width="11.21875" bestFit="1" customWidth="1"/>
    <col min="21" max="21" width="9" bestFit="1" customWidth="1"/>
    <col min="22" max="22" width="11.21875" bestFit="1" customWidth="1"/>
    <col min="23" max="23" width="9" bestFit="1" customWidth="1"/>
    <col min="24" max="24" width="11.21875" bestFit="1" customWidth="1"/>
    <col min="25" max="25" width="9" bestFit="1" customWidth="1"/>
    <col min="26" max="26" width="11.21875" bestFit="1" customWidth="1"/>
    <col min="27" max="27" width="8" bestFit="1" customWidth="1"/>
    <col min="28" max="28" width="10.21875" bestFit="1" customWidth="1"/>
    <col min="29" max="29" width="9" bestFit="1" customWidth="1"/>
    <col min="30" max="30" width="11.21875" bestFit="1" customWidth="1"/>
    <col min="31" max="31" width="9" bestFit="1" customWidth="1"/>
    <col min="32" max="32" width="11.21875" bestFit="1" customWidth="1"/>
    <col min="33" max="33" width="9" bestFit="1" customWidth="1"/>
    <col min="34" max="34" width="11.21875" bestFit="1" customWidth="1"/>
    <col min="35" max="35" width="9" bestFit="1" customWidth="1"/>
    <col min="36" max="36" width="11.21875" bestFit="1" customWidth="1"/>
    <col min="37" max="37" width="9" bestFit="1" customWidth="1"/>
    <col min="38" max="38" width="11.21875" bestFit="1" customWidth="1"/>
    <col min="39" max="39" width="9" bestFit="1" customWidth="1"/>
    <col min="40" max="40" width="11.21875" bestFit="1" customWidth="1"/>
    <col min="41" max="41" width="9" bestFit="1" customWidth="1"/>
    <col min="42" max="42" width="11.21875" bestFit="1" customWidth="1"/>
    <col min="43" max="43" width="9" bestFit="1" customWidth="1"/>
    <col min="44" max="44" width="11.21875" bestFit="1" customWidth="1"/>
    <col min="45" max="45" width="9" bestFit="1" customWidth="1"/>
    <col min="46" max="46" width="11.21875" bestFit="1" customWidth="1"/>
    <col min="47" max="47" width="9" bestFit="1" customWidth="1"/>
    <col min="48" max="48" width="11.21875" bestFit="1" customWidth="1"/>
    <col min="49" max="49" width="9" bestFit="1" customWidth="1"/>
    <col min="50" max="50" width="11.21875" bestFit="1" customWidth="1"/>
    <col min="51" max="51" width="9" bestFit="1" customWidth="1"/>
    <col min="52" max="52" width="11.21875" bestFit="1" customWidth="1"/>
    <col min="53" max="53" width="9" bestFit="1" customWidth="1"/>
    <col min="54" max="54" width="11.21875" bestFit="1" customWidth="1"/>
    <col min="55" max="55" width="9" bestFit="1" customWidth="1"/>
    <col min="56" max="56" width="11.21875" bestFit="1" customWidth="1"/>
    <col min="57" max="57" width="9" bestFit="1" customWidth="1"/>
    <col min="58" max="58" width="11.21875" bestFit="1" customWidth="1"/>
    <col min="59" max="59" width="9" bestFit="1" customWidth="1"/>
    <col min="60" max="60" width="11.21875" bestFit="1" customWidth="1"/>
    <col min="61" max="61" width="10" bestFit="1" customWidth="1"/>
    <col min="62" max="62" width="12.21875" bestFit="1" customWidth="1"/>
    <col min="63" max="63" width="9" bestFit="1" customWidth="1"/>
    <col min="64" max="64" width="11.21875" bestFit="1" customWidth="1"/>
    <col min="65" max="65" width="10" bestFit="1" customWidth="1"/>
    <col min="66" max="66" width="12.21875" bestFit="1" customWidth="1"/>
    <col min="67" max="67" width="10" bestFit="1" customWidth="1"/>
    <col min="68" max="68" width="12.21875" bestFit="1" customWidth="1"/>
    <col min="69" max="69" width="10" bestFit="1" customWidth="1"/>
    <col min="70" max="70" width="12.21875" bestFit="1" customWidth="1"/>
    <col min="71" max="71" width="10" bestFit="1" customWidth="1"/>
    <col min="72" max="72" width="12.21875" bestFit="1" customWidth="1"/>
    <col min="73" max="73" width="10" bestFit="1" customWidth="1"/>
    <col min="74" max="74" width="12.21875" bestFit="1" customWidth="1"/>
    <col min="75" max="75" width="10" bestFit="1" customWidth="1"/>
    <col min="76" max="76" width="12.21875" bestFit="1" customWidth="1"/>
    <col min="77" max="77" width="10" bestFit="1" customWidth="1"/>
    <col min="78" max="78" width="12.21875" bestFit="1" customWidth="1"/>
    <col min="79" max="79" width="10" bestFit="1" customWidth="1"/>
    <col min="80" max="80" width="12.21875" bestFit="1" customWidth="1"/>
    <col min="81" max="81" width="10" bestFit="1" customWidth="1"/>
    <col min="82" max="82" width="12.21875" bestFit="1" customWidth="1"/>
    <col min="83" max="83" width="10" bestFit="1" customWidth="1"/>
    <col min="84" max="84" width="12.21875" bestFit="1" customWidth="1"/>
    <col min="85" max="85" width="9" bestFit="1" customWidth="1"/>
    <col min="86" max="86" width="11.21875" bestFit="1" customWidth="1"/>
    <col min="87" max="87" width="10" bestFit="1" customWidth="1"/>
    <col min="88" max="88" width="12.21875" bestFit="1" customWidth="1"/>
    <col min="89" max="89" width="10" bestFit="1" customWidth="1"/>
    <col min="90" max="90" width="12.21875" bestFit="1" customWidth="1"/>
    <col min="91" max="91" width="10" bestFit="1" customWidth="1"/>
    <col min="92" max="92" width="12.21875" bestFit="1" customWidth="1"/>
    <col min="93" max="93" width="10" bestFit="1" customWidth="1"/>
    <col min="94" max="94" width="12.21875" bestFit="1" customWidth="1"/>
    <col min="95" max="95" width="9" bestFit="1" customWidth="1"/>
    <col min="96" max="96" width="11.21875" bestFit="1" customWidth="1"/>
    <col min="97" max="97" width="10" bestFit="1" customWidth="1"/>
    <col min="98" max="98" width="12.21875" bestFit="1" customWidth="1"/>
    <col min="99" max="99" width="10" bestFit="1" customWidth="1"/>
    <col min="100" max="100" width="12.21875" bestFit="1" customWidth="1"/>
    <col min="101" max="101" width="10" bestFit="1" customWidth="1"/>
    <col min="102" max="102" width="12.21875" bestFit="1" customWidth="1"/>
    <col min="103" max="103" width="10" bestFit="1" customWidth="1"/>
    <col min="104" max="104" width="12.21875" bestFit="1" customWidth="1"/>
    <col min="105" max="105" width="10" bestFit="1" customWidth="1"/>
    <col min="106" max="106" width="12.21875" bestFit="1" customWidth="1"/>
    <col min="107" max="107" width="10" bestFit="1" customWidth="1"/>
    <col min="108" max="108" width="12.21875" bestFit="1" customWidth="1"/>
    <col min="109" max="109" width="10" bestFit="1" customWidth="1"/>
    <col min="110" max="110" width="12.21875" bestFit="1" customWidth="1"/>
    <col min="111" max="111" width="10" bestFit="1" customWidth="1"/>
    <col min="112" max="112" width="12.21875" bestFit="1" customWidth="1"/>
    <col min="113" max="113" width="10" bestFit="1" customWidth="1"/>
    <col min="114" max="114" width="12.21875" bestFit="1" customWidth="1"/>
    <col min="115" max="115" width="10" bestFit="1" customWidth="1"/>
    <col min="116" max="116" width="12.21875" bestFit="1" customWidth="1"/>
    <col min="117" max="117" width="10" bestFit="1" customWidth="1"/>
    <col min="118" max="118" width="12.21875" bestFit="1" customWidth="1"/>
    <col min="119" max="119" width="10" bestFit="1" customWidth="1"/>
    <col min="120" max="120" width="12.21875" bestFit="1" customWidth="1"/>
    <col min="121" max="122" width="10.77734375" bestFit="1" customWidth="1"/>
    <col min="123" max="123" width="12.21875" bestFit="1" customWidth="1"/>
    <col min="124" max="124" width="10" bestFit="1" customWidth="1"/>
    <col min="125" max="125" width="9.109375" bestFit="1" customWidth="1"/>
    <col min="126" max="126" width="12.21875" bestFit="1" customWidth="1"/>
    <col min="127" max="127" width="9" bestFit="1" customWidth="1"/>
    <col min="128" max="128" width="9.88671875" bestFit="1" customWidth="1"/>
    <col min="129" max="129" width="11.21875" bestFit="1" customWidth="1"/>
    <col min="130" max="130" width="10" bestFit="1" customWidth="1"/>
    <col min="131" max="131" width="9.109375" bestFit="1" customWidth="1"/>
    <col min="132" max="132" width="12.21875" bestFit="1" customWidth="1"/>
    <col min="133" max="133" width="10" bestFit="1" customWidth="1"/>
    <col min="134" max="134" width="9.109375" bestFit="1" customWidth="1"/>
    <col min="135" max="135" width="12.21875" bestFit="1" customWidth="1"/>
    <col min="136" max="136" width="10" bestFit="1" customWidth="1"/>
    <col min="137" max="137" width="9.109375" bestFit="1" customWidth="1"/>
    <col min="138" max="138" width="12.21875" bestFit="1" customWidth="1"/>
    <col min="139" max="139" width="10" bestFit="1" customWidth="1"/>
    <col min="140" max="140" width="9.88671875" bestFit="1" customWidth="1"/>
    <col min="141" max="141" width="12.21875" bestFit="1" customWidth="1"/>
    <col min="142" max="142" width="9" bestFit="1" customWidth="1"/>
    <col min="143" max="143" width="9.109375" bestFit="1" customWidth="1"/>
    <col min="144" max="144" width="11.21875" bestFit="1" customWidth="1"/>
    <col min="145" max="145" width="10" bestFit="1" customWidth="1"/>
    <col min="146" max="146" width="9.88671875" bestFit="1" customWidth="1"/>
    <col min="147" max="147" width="12.21875" bestFit="1" customWidth="1"/>
    <col min="148" max="148" width="10" bestFit="1" customWidth="1"/>
    <col min="149" max="149" width="9.88671875" bestFit="1" customWidth="1"/>
    <col min="150" max="150" width="12.21875" bestFit="1" customWidth="1"/>
    <col min="151" max="151" width="10" bestFit="1" customWidth="1"/>
    <col min="152" max="152" width="10.6640625" bestFit="1" customWidth="1"/>
    <col min="153" max="153" width="12.21875" bestFit="1" customWidth="1"/>
    <col min="154" max="154" width="10" bestFit="1" customWidth="1"/>
    <col min="155" max="155" width="10.5546875" bestFit="1" customWidth="1"/>
    <col min="156" max="156" width="12.21875" bestFit="1" customWidth="1"/>
    <col min="157" max="157" width="10" bestFit="1" customWidth="1"/>
    <col min="158" max="158" width="9.88671875" bestFit="1" customWidth="1"/>
    <col min="159" max="159" width="12.21875" bestFit="1" customWidth="1"/>
    <col min="160" max="160" width="10" bestFit="1" customWidth="1"/>
    <col min="161" max="161" width="10.6640625" bestFit="1" customWidth="1"/>
    <col min="162" max="162" width="12.21875" bestFit="1" customWidth="1"/>
    <col min="163" max="163" width="10" bestFit="1" customWidth="1"/>
    <col min="164" max="164" width="10.6640625" bestFit="1" customWidth="1"/>
    <col min="165" max="165" width="12.21875" bestFit="1" customWidth="1"/>
    <col min="166" max="166" width="10" bestFit="1" customWidth="1"/>
    <col min="167" max="167" width="9.88671875" bestFit="1" customWidth="1"/>
    <col min="168" max="168" width="12.21875" bestFit="1" customWidth="1"/>
    <col min="169" max="169" width="10" bestFit="1" customWidth="1"/>
    <col min="170" max="170" width="9.109375" bestFit="1" customWidth="1"/>
    <col min="171" max="171" width="12.21875" bestFit="1" customWidth="1"/>
    <col min="172" max="172" width="12" bestFit="1" customWidth="1"/>
    <col min="173" max="173" width="10.6640625" bestFit="1" customWidth="1"/>
    <col min="174" max="174" width="12.21875" bestFit="1" customWidth="1"/>
    <col min="175" max="175" width="10" bestFit="1" customWidth="1"/>
    <col min="176" max="176" width="9.88671875" bestFit="1" customWidth="1"/>
    <col min="177" max="177" width="12.21875" bestFit="1" customWidth="1"/>
    <col min="178" max="178" width="12" bestFit="1" customWidth="1"/>
    <col min="179" max="179" width="9.88671875" bestFit="1" customWidth="1"/>
    <col min="180" max="180" width="12.21875" bestFit="1" customWidth="1"/>
    <col min="181" max="181" width="10.77734375" bestFit="1" customWidth="1"/>
  </cols>
  <sheetData>
    <row r="3" spans="1:2" x14ac:dyDescent="0.3">
      <c r="A3" s="2" t="s">
        <v>89</v>
      </c>
      <c r="B3" t="s">
        <v>90</v>
      </c>
    </row>
    <row r="4" spans="1:2" x14ac:dyDescent="0.3">
      <c r="A4" s="3" t="s">
        <v>22</v>
      </c>
      <c r="B4">
        <v>22173.899999999998</v>
      </c>
    </row>
    <row r="5" spans="1:2" x14ac:dyDescent="0.3">
      <c r="A5" s="3" t="s">
        <v>13</v>
      </c>
      <c r="B5">
        <v>9972.43</v>
      </c>
    </row>
    <row r="6" spans="1:2" x14ac:dyDescent="0.3">
      <c r="A6" s="3" t="s">
        <v>16</v>
      </c>
      <c r="B6">
        <v>19839.78</v>
      </c>
    </row>
    <row r="7" spans="1:2" x14ac:dyDescent="0.3">
      <c r="A7" s="3" t="s">
        <v>9</v>
      </c>
      <c r="B7">
        <v>29329.700000000008</v>
      </c>
    </row>
    <row r="8" spans="1:2" x14ac:dyDescent="0.3">
      <c r="A8" s="3" t="s">
        <v>88</v>
      </c>
      <c r="B8">
        <v>81315.810000000012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FF5AB-A38A-41B2-8E4B-A1FEFA7EF2CD}">
  <dimension ref="A3:B16"/>
  <sheetViews>
    <sheetView tabSelected="1" workbookViewId="0">
      <selection activeCell="I15" sqref="I15"/>
    </sheetView>
  </sheetViews>
  <sheetFormatPr defaultRowHeight="14.4" x14ac:dyDescent="0.3"/>
  <cols>
    <col min="1" max="1" width="12.5546875" bestFit="1" customWidth="1"/>
    <col min="2" max="2" width="11.6640625" bestFit="1" customWidth="1"/>
    <col min="3" max="4" width="8" bestFit="1" customWidth="1"/>
    <col min="5" max="5" width="9.109375" bestFit="1" customWidth="1"/>
    <col min="6" max="6" width="8" bestFit="1" customWidth="1"/>
    <col min="7" max="7" width="7.88671875" bestFit="1" customWidth="1"/>
    <col min="8" max="8" width="7" bestFit="1" customWidth="1"/>
    <col min="9" max="9" width="9.44140625" bestFit="1" customWidth="1"/>
    <col min="10" max="10" width="8" bestFit="1" customWidth="1"/>
    <col min="11" max="11" width="12" bestFit="1" customWidth="1"/>
    <col min="12" max="13" width="8" bestFit="1" customWidth="1"/>
    <col min="14" max="14" width="10.77734375" bestFit="1" customWidth="1"/>
  </cols>
  <sheetData>
    <row r="3" spans="1:2" x14ac:dyDescent="0.3">
      <c r="A3" s="2" t="s">
        <v>89</v>
      </c>
      <c r="B3" t="s">
        <v>90</v>
      </c>
    </row>
    <row r="4" spans="1:2" x14ac:dyDescent="0.3">
      <c r="A4" s="3" t="s">
        <v>14</v>
      </c>
      <c r="B4" s="4">
        <v>12140.65</v>
      </c>
    </row>
    <row r="5" spans="1:2" x14ac:dyDescent="0.3">
      <c r="A5" s="3" t="s">
        <v>26</v>
      </c>
      <c r="B5" s="4">
        <v>9673.24</v>
      </c>
    </row>
    <row r="6" spans="1:2" x14ac:dyDescent="0.3">
      <c r="A6" s="3" t="s">
        <v>28</v>
      </c>
      <c r="B6" s="4">
        <v>9226.0499999999993</v>
      </c>
    </row>
    <row r="7" spans="1:2" x14ac:dyDescent="0.3">
      <c r="A7" s="3" t="s">
        <v>11</v>
      </c>
      <c r="B7" s="4">
        <v>8646.81</v>
      </c>
    </row>
    <row r="8" spans="1:2" x14ac:dyDescent="0.3">
      <c r="A8" s="3" t="s">
        <v>20</v>
      </c>
      <c r="B8" s="4">
        <v>7229.67</v>
      </c>
    </row>
    <row r="9" spans="1:2" x14ac:dyDescent="0.3">
      <c r="A9" s="3" t="s">
        <v>17</v>
      </c>
      <c r="B9" s="4">
        <v>6989.9400000000005</v>
      </c>
    </row>
    <row r="10" spans="1:2" x14ac:dyDescent="0.3">
      <c r="A10" s="3" t="s">
        <v>51</v>
      </c>
      <c r="B10" s="4">
        <v>6031.96</v>
      </c>
    </row>
    <row r="11" spans="1:2" x14ac:dyDescent="0.3">
      <c r="A11" s="3" t="s">
        <v>53</v>
      </c>
      <c r="B11" s="4">
        <v>5892.46</v>
      </c>
    </row>
    <row r="12" spans="1:2" x14ac:dyDescent="0.3">
      <c r="A12" s="3" t="s">
        <v>62</v>
      </c>
      <c r="B12" s="4">
        <v>5385.28</v>
      </c>
    </row>
    <row r="13" spans="1:2" x14ac:dyDescent="0.3">
      <c r="A13" s="3" t="s">
        <v>34</v>
      </c>
      <c r="B13" s="4">
        <v>4491.3999999999996</v>
      </c>
    </row>
    <row r="14" spans="1:2" x14ac:dyDescent="0.3">
      <c r="A14" s="3" t="s">
        <v>30</v>
      </c>
      <c r="B14" s="4">
        <v>3279.05</v>
      </c>
    </row>
    <row r="15" spans="1:2" x14ac:dyDescent="0.3">
      <c r="A15" s="3" t="s">
        <v>38</v>
      </c>
      <c r="B15" s="4">
        <v>2329.3000000000002</v>
      </c>
    </row>
    <row r="16" spans="1:2" x14ac:dyDescent="0.3">
      <c r="A16" s="3" t="s">
        <v>88</v>
      </c>
      <c r="B16" s="4">
        <v>81315.81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005EE-4042-471E-BBB6-26819F61A130}">
  <dimension ref="A1:B12"/>
  <sheetViews>
    <sheetView workbookViewId="0">
      <selection activeCell="B2" sqref="B2"/>
    </sheetView>
  </sheetViews>
  <sheetFormatPr defaultRowHeight="14.4" x14ac:dyDescent="0.3"/>
  <cols>
    <col min="1" max="1" width="12.5546875" bestFit="1" customWidth="1"/>
    <col min="2" max="2" width="18.33203125" bestFit="1" customWidth="1"/>
  </cols>
  <sheetData>
    <row r="1" spans="1:2" x14ac:dyDescent="0.3">
      <c r="A1" s="2" t="s">
        <v>89</v>
      </c>
      <c r="B1" t="s">
        <v>107</v>
      </c>
    </row>
    <row r="2" spans="1:2" x14ac:dyDescent="0.3">
      <c r="A2" s="3" t="s">
        <v>14</v>
      </c>
      <c r="B2" s="4">
        <v>12140.65</v>
      </c>
    </row>
    <row r="3" spans="1:2" x14ac:dyDescent="0.3">
      <c r="A3" s="3" t="s">
        <v>26</v>
      </c>
      <c r="B3" s="4">
        <v>9673.24</v>
      </c>
    </row>
    <row r="4" spans="1:2" x14ac:dyDescent="0.3">
      <c r="A4" s="3" t="s">
        <v>28</v>
      </c>
      <c r="B4" s="4">
        <v>9226.0499999999993</v>
      </c>
    </row>
    <row r="5" spans="1:2" x14ac:dyDescent="0.3">
      <c r="A5" s="3" t="s">
        <v>11</v>
      </c>
      <c r="B5" s="4">
        <v>8646.81</v>
      </c>
    </row>
    <row r="6" spans="1:2" x14ac:dyDescent="0.3">
      <c r="A6" s="3" t="s">
        <v>20</v>
      </c>
      <c r="B6" s="4">
        <v>7229.67</v>
      </c>
    </row>
    <row r="7" spans="1:2" x14ac:dyDescent="0.3">
      <c r="A7" s="3" t="s">
        <v>17</v>
      </c>
      <c r="B7" s="4">
        <v>6989.9400000000005</v>
      </c>
    </row>
    <row r="8" spans="1:2" x14ac:dyDescent="0.3">
      <c r="A8" s="3" t="s">
        <v>51</v>
      </c>
      <c r="B8" s="4">
        <v>6031.96</v>
      </c>
    </row>
    <row r="9" spans="1:2" x14ac:dyDescent="0.3">
      <c r="A9" s="3" t="s">
        <v>53</v>
      </c>
      <c r="B9" s="4">
        <v>5892.46</v>
      </c>
    </row>
    <row r="10" spans="1:2" x14ac:dyDescent="0.3">
      <c r="A10" s="3" t="s">
        <v>62</v>
      </c>
      <c r="B10" s="4">
        <v>5385.28</v>
      </c>
    </row>
    <row r="11" spans="1:2" x14ac:dyDescent="0.3">
      <c r="A11" s="3" t="s">
        <v>34</v>
      </c>
      <c r="B11" s="4">
        <v>4491.3999999999996</v>
      </c>
    </row>
    <row r="12" spans="1:2" x14ac:dyDescent="0.3">
      <c r="A12" s="3" t="s">
        <v>88</v>
      </c>
      <c r="B12" s="4">
        <v>75707.460000000006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77D15-61A9-475D-9635-33BECF8F3869}">
  <dimension ref="A3:B16"/>
  <sheetViews>
    <sheetView workbookViewId="0">
      <selection activeCell="P16" sqref="P16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2" t="s">
        <v>89</v>
      </c>
      <c r="B3" t="s">
        <v>90</v>
      </c>
    </row>
    <row r="4" spans="1:2" x14ac:dyDescent="0.3">
      <c r="A4" s="3" t="s">
        <v>91</v>
      </c>
      <c r="B4">
        <v>9031.61</v>
      </c>
    </row>
    <row r="5" spans="1:2" x14ac:dyDescent="0.3">
      <c r="A5" s="3" t="s">
        <v>92</v>
      </c>
      <c r="B5">
        <v>11217.099999999999</v>
      </c>
    </row>
    <row r="6" spans="1:2" x14ac:dyDescent="0.3">
      <c r="A6" s="3" t="s">
        <v>93</v>
      </c>
      <c r="B6">
        <v>2248.56</v>
      </c>
    </row>
    <row r="7" spans="1:2" x14ac:dyDescent="0.3">
      <c r="A7" s="3" t="s">
        <v>94</v>
      </c>
      <c r="B7">
        <v>669.7</v>
      </c>
    </row>
    <row r="8" spans="1:2" x14ac:dyDescent="0.3">
      <c r="A8" s="3" t="s">
        <v>95</v>
      </c>
      <c r="B8">
        <v>4846.4799999999996</v>
      </c>
    </row>
    <row r="9" spans="1:2" x14ac:dyDescent="0.3">
      <c r="A9" s="3" t="s">
        <v>96</v>
      </c>
      <c r="B9">
        <v>9492.35</v>
      </c>
    </row>
    <row r="10" spans="1:2" x14ac:dyDescent="0.3">
      <c r="A10" s="3" t="s">
        <v>97</v>
      </c>
      <c r="B10">
        <v>4884.2999999999993</v>
      </c>
    </row>
    <row r="11" spans="1:2" x14ac:dyDescent="0.3">
      <c r="A11" s="3" t="s">
        <v>98</v>
      </c>
      <c r="B11">
        <v>11014.92</v>
      </c>
    </row>
    <row r="12" spans="1:2" x14ac:dyDescent="0.3">
      <c r="A12" s="3" t="s">
        <v>99</v>
      </c>
      <c r="B12">
        <v>8890.93</v>
      </c>
    </row>
    <row r="13" spans="1:2" x14ac:dyDescent="0.3">
      <c r="A13" s="3" t="s">
        <v>100</v>
      </c>
      <c r="B13">
        <v>7042.0199999999995</v>
      </c>
    </row>
    <row r="14" spans="1:2" x14ac:dyDescent="0.3">
      <c r="A14" s="3" t="s">
        <v>101</v>
      </c>
      <c r="B14">
        <v>6508.28</v>
      </c>
    </row>
    <row r="15" spans="1:2" x14ac:dyDescent="0.3">
      <c r="A15" s="3" t="s">
        <v>102</v>
      </c>
      <c r="B15">
        <v>5469.56</v>
      </c>
    </row>
    <row r="16" spans="1:2" x14ac:dyDescent="0.3">
      <c r="A16" s="3" t="s">
        <v>88</v>
      </c>
      <c r="B16">
        <v>81315.81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0A05B-1780-4EBD-A67A-FA1D653B72FD}">
  <dimension ref="A3:B16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2.109375" bestFit="1" customWidth="1"/>
    <col min="3" max="3" width="8" bestFit="1" customWidth="1"/>
    <col min="4" max="4" width="7" bestFit="1" customWidth="1"/>
    <col min="5" max="5" width="9.109375" bestFit="1" customWidth="1"/>
    <col min="6" max="6" width="8" bestFit="1" customWidth="1"/>
    <col min="7" max="7" width="7.88671875" bestFit="1" customWidth="1"/>
    <col min="8" max="8" width="7" bestFit="1" customWidth="1"/>
    <col min="9" max="9" width="9.44140625" bestFit="1" customWidth="1"/>
    <col min="10" max="10" width="8" bestFit="1" customWidth="1"/>
    <col min="11" max="11" width="12" bestFit="1" customWidth="1"/>
    <col min="12" max="13" width="8" bestFit="1" customWidth="1"/>
    <col min="14" max="14" width="10.77734375" bestFit="1" customWidth="1"/>
    <col min="15" max="60" width="15.5546875" bestFit="1" customWidth="1"/>
    <col min="61" max="61" width="10.77734375" bestFit="1" customWidth="1"/>
  </cols>
  <sheetData>
    <row r="3" spans="1:2" x14ac:dyDescent="0.3">
      <c r="A3" s="2" t="s">
        <v>89</v>
      </c>
      <c r="B3" t="s">
        <v>104</v>
      </c>
    </row>
    <row r="4" spans="1:2" x14ac:dyDescent="0.3">
      <c r="A4" s="3" t="s">
        <v>30</v>
      </c>
      <c r="B4" s="4">
        <v>724.56</v>
      </c>
    </row>
    <row r="5" spans="1:2" x14ac:dyDescent="0.3">
      <c r="A5" s="3" t="s">
        <v>20</v>
      </c>
      <c r="B5" s="4">
        <v>1701.46</v>
      </c>
    </row>
    <row r="6" spans="1:2" x14ac:dyDescent="0.3">
      <c r="A6" s="3" t="s">
        <v>62</v>
      </c>
      <c r="B6" s="4">
        <v>811.47</v>
      </c>
    </row>
    <row r="7" spans="1:2" x14ac:dyDescent="0.3">
      <c r="A7" s="3" t="s">
        <v>26</v>
      </c>
      <c r="B7" s="4">
        <v>1244.3399999999999</v>
      </c>
    </row>
    <row r="8" spans="1:2" x14ac:dyDescent="0.3">
      <c r="A8" s="3" t="s">
        <v>28</v>
      </c>
      <c r="B8" s="4">
        <v>2288.1299999999997</v>
      </c>
    </row>
    <row r="9" spans="1:2" x14ac:dyDescent="0.3">
      <c r="A9" s="3" t="s">
        <v>38</v>
      </c>
      <c r="B9" s="4">
        <v>569.1</v>
      </c>
    </row>
    <row r="10" spans="1:2" x14ac:dyDescent="0.3">
      <c r="A10" s="3" t="s">
        <v>34</v>
      </c>
      <c r="B10" s="4">
        <v>582.22</v>
      </c>
    </row>
    <row r="11" spans="1:2" x14ac:dyDescent="0.3">
      <c r="A11" s="3" t="s">
        <v>17</v>
      </c>
      <c r="B11" s="4">
        <v>1375.54</v>
      </c>
    </row>
    <row r="12" spans="1:2" x14ac:dyDescent="0.3">
      <c r="A12" s="3" t="s">
        <v>51</v>
      </c>
      <c r="B12" s="4">
        <v>1005.9699999999999</v>
      </c>
    </row>
    <row r="13" spans="1:2" x14ac:dyDescent="0.3">
      <c r="A13" s="3" t="s">
        <v>14</v>
      </c>
      <c r="B13" s="4">
        <v>1558.14</v>
      </c>
    </row>
    <row r="14" spans="1:2" x14ac:dyDescent="0.3">
      <c r="A14" s="3" t="s">
        <v>11</v>
      </c>
      <c r="B14" s="4">
        <v>1284.18</v>
      </c>
    </row>
    <row r="15" spans="1:2" x14ac:dyDescent="0.3">
      <c r="A15" s="3" t="s">
        <v>53</v>
      </c>
      <c r="B15" s="4">
        <v>1068.02</v>
      </c>
    </row>
    <row r="16" spans="1:2" x14ac:dyDescent="0.3">
      <c r="A16" s="3" t="s">
        <v>88</v>
      </c>
      <c r="B16" s="4">
        <v>14213.13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DB42B-37B9-4462-8E1B-A7FA1A1BEEDA}">
  <dimension ref="A3:B16"/>
  <sheetViews>
    <sheetView workbookViewId="0">
      <selection activeCell="F23" sqref="F23"/>
    </sheetView>
  </sheetViews>
  <sheetFormatPr defaultRowHeight="14.4" x14ac:dyDescent="0.3"/>
  <cols>
    <col min="1" max="1" width="12.5546875" bestFit="1" customWidth="1"/>
    <col min="2" max="2" width="21.88671875" bestFit="1" customWidth="1"/>
    <col min="3" max="11" width="12" bestFit="1" customWidth="1"/>
    <col min="12" max="12" width="11" bestFit="1" customWidth="1"/>
    <col min="13" max="14" width="12" bestFit="1" customWidth="1"/>
  </cols>
  <sheetData>
    <row r="3" spans="1:2" x14ac:dyDescent="0.3">
      <c r="A3" s="2" t="s">
        <v>89</v>
      </c>
      <c r="B3" t="s">
        <v>105</v>
      </c>
    </row>
    <row r="4" spans="1:2" x14ac:dyDescent="0.3">
      <c r="A4" s="3" t="s">
        <v>30</v>
      </c>
      <c r="B4" s="4">
        <v>20.246802865415948</v>
      </c>
    </row>
    <row r="5" spans="1:2" x14ac:dyDescent="0.3">
      <c r="A5" s="3" t="s">
        <v>20</v>
      </c>
      <c r="B5" s="4">
        <v>21.822729593086706</v>
      </c>
    </row>
    <row r="6" spans="1:2" x14ac:dyDescent="0.3">
      <c r="A6" s="3" t="s">
        <v>62</v>
      </c>
      <c r="B6" s="4">
        <v>15.209300450074416</v>
      </c>
    </row>
    <row r="7" spans="1:2" x14ac:dyDescent="0.3">
      <c r="A7" s="3" t="s">
        <v>26</v>
      </c>
      <c r="B7" s="4">
        <v>18.386358210876793</v>
      </c>
    </row>
    <row r="8" spans="1:2" x14ac:dyDescent="0.3">
      <c r="A8" s="3" t="s">
        <v>28</v>
      </c>
      <c r="B8" s="4">
        <v>22.040162640953078</v>
      </c>
    </row>
    <row r="9" spans="1:2" x14ac:dyDescent="0.3">
      <c r="A9" s="3" t="s">
        <v>38</v>
      </c>
      <c r="B9" s="4">
        <v>22.603079631151047</v>
      </c>
    </row>
    <row r="10" spans="1:2" x14ac:dyDescent="0.3">
      <c r="A10" s="3" t="s">
        <v>34</v>
      </c>
      <c r="B10" s="4">
        <v>13.802318032035382</v>
      </c>
    </row>
    <row r="11" spans="1:2" x14ac:dyDescent="0.3">
      <c r="A11" s="3" t="s">
        <v>17</v>
      </c>
      <c r="B11" s="4">
        <v>17.603133785346387</v>
      </c>
    </row>
    <row r="12" spans="1:2" x14ac:dyDescent="0.3">
      <c r="A12" s="3" t="s">
        <v>51</v>
      </c>
      <c r="B12" s="4">
        <v>17.469708171998246</v>
      </c>
    </row>
    <row r="13" spans="1:2" x14ac:dyDescent="0.3">
      <c r="A13" s="3" t="s">
        <v>14</v>
      </c>
      <c r="B13" s="4">
        <v>12.897026725273173</v>
      </c>
    </row>
    <row r="14" spans="1:2" x14ac:dyDescent="0.3">
      <c r="A14" s="3" t="s">
        <v>11</v>
      </c>
      <c r="B14" s="4">
        <v>18.370202119143862</v>
      </c>
    </row>
    <row r="15" spans="1:2" x14ac:dyDescent="0.3">
      <c r="A15" s="3" t="s">
        <v>53</v>
      </c>
      <c r="B15" s="4">
        <v>17.296225644090196</v>
      </c>
    </row>
    <row r="16" spans="1:2" x14ac:dyDescent="0.3">
      <c r="A16" s="3" t="s">
        <v>88</v>
      </c>
      <c r="B16" s="4">
        <v>17.818279431296066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2EB83-0B3B-4D6F-8F79-FB8B4A474F71}">
  <dimension ref="A3:B16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4.88671875" bestFit="1" customWidth="1"/>
    <col min="3" max="3" width="5.33203125" bestFit="1" customWidth="1"/>
    <col min="4" max="4" width="5" bestFit="1" customWidth="1"/>
    <col min="5" max="5" width="9.109375" bestFit="1" customWidth="1"/>
    <col min="6" max="6" width="6.88671875" bestFit="1" customWidth="1"/>
    <col min="7" max="7" width="7.88671875" bestFit="1" customWidth="1"/>
    <col min="8" max="8" width="6.77734375" bestFit="1" customWidth="1"/>
    <col min="9" max="9" width="9.44140625" bestFit="1" customWidth="1"/>
    <col min="10" max="10" width="4.21875" bestFit="1" customWidth="1"/>
    <col min="11" max="11" width="12" bestFit="1" customWidth="1"/>
    <col min="12" max="12" width="6.88671875" bestFit="1" customWidth="1"/>
    <col min="13" max="13" width="5.5546875" bestFit="1" customWidth="1"/>
    <col min="14" max="14" width="10.77734375" bestFit="1" customWidth="1"/>
  </cols>
  <sheetData>
    <row r="3" spans="1:2" x14ac:dyDescent="0.3">
      <c r="A3" s="2" t="s">
        <v>89</v>
      </c>
      <c r="B3" t="s">
        <v>106</v>
      </c>
    </row>
    <row r="4" spans="1:2" x14ac:dyDescent="0.3">
      <c r="A4" s="3" t="s">
        <v>30</v>
      </c>
      <c r="B4" s="4">
        <v>33</v>
      </c>
    </row>
    <row r="5" spans="1:2" x14ac:dyDescent="0.3">
      <c r="A5" s="3" t="s">
        <v>20</v>
      </c>
      <c r="B5" s="4">
        <v>28</v>
      </c>
    </row>
    <row r="6" spans="1:2" x14ac:dyDescent="0.3">
      <c r="A6" s="3" t="s">
        <v>62</v>
      </c>
      <c r="B6" s="4">
        <v>21</v>
      </c>
    </row>
    <row r="7" spans="1:2" x14ac:dyDescent="0.3">
      <c r="A7" s="3" t="s">
        <v>26</v>
      </c>
      <c r="B7" s="4">
        <v>37</v>
      </c>
    </row>
    <row r="8" spans="1:2" x14ac:dyDescent="0.3">
      <c r="A8" s="3" t="s">
        <v>28</v>
      </c>
      <c r="B8" s="4">
        <v>23</v>
      </c>
    </row>
    <row r="9" spans="1:2" x14ac:dyDescent="0.3">
      <c r="A9" s="3" t="s">
        <v>38</v>
      </c>
      <c r="B9" s="4">
        <v>13</v>
      </c>
    </row>
    <row r="10" spans="1:2" x14ac:dyDescent="0.3">
      <c r="A10" s="3" t="s">
        <v>34</v>
      </c>
      <c r="B10" s="4">
        <v>25</v>
      </c>
    </row>
    <row r="11" spans="1:2" x14ac:dyDescent="0.3">
      <c r="A11" s="3" t="s">
        <v>17</v>
      </c>
      <c r="B11" s="4">
        <v>32</v>
      </c>
    </row>
    <row r="12" spans="1:2" x14ac:dyDescent="0.3">
      <c r="A12" s="3" t="s">
        <v>51</v>
      </c>
      <c r="B12" s="4">
        <v>24</v>
      </c>
    </row>
    <row r="13" spans="1:2" x14ac:dyDescent="0.3">
      <c r="A13" s="3" t="s">
        <v>14</v>
      </c>
      <c r="B13" s="4">
        <v>39</v>
      </c>
    </row>
    <row r="14" spans="1:2" x14ac:dyDescent="0.3">
      <c r="A14" s="3" t="s">
        <v>11</v>
      </c>
      <c r="B14" s="4">
        <v>30</v>
      </c>
    </row>
    <row r="15" spans="1:2" x14ac:dyDescent="0.3">
      <c r="A15" s="3" t="s">
        <v>53</v>
      </c>
      <c r="B15" s="4">
        <v>19</v>
      </c>
    </row>
    <row r="16" spans="1:2" x14ac:dyDescent="0.3">
      <c r="A16" s="3" t="s">
        <v>88</v>
      </c>
      <c r="B16" s="4">
        <v>324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AC646-079F-4CB8-87C3-615EECC1DACA}">
  <dimension ref="A3:B8"/>
  <sheetViews>
    <sheetView workbookViewId="0">
      <selection activeCell="P18" sqref="P18"/>
    </sheetView>
  </sheetViews>
  <sheetFormatPr defaultRowHeight="14.4" x14ac:dyDescent="0.3"/>
  <cols>
    <col min="1" max="1" width="12.5546875" bestFit="1" customWidth="1"/>
    <col min="2" max="2" width="12.109375" bestFit="1" customWidth="1"/>
  </cols>
  <sheetData>
    <row r="3" spans="1:2" x14ac:dyDescent="0.3">
      <c r="A3" s="2" t="s">
        <v>89</v>
      </c>
      <c r="B3" t="s">
        <v>104</v>
      </c>
    </row>
    <row r="4" spans="1:2" x14ac:dyDescent="0.3">
      <c r="A4" s="3" t="s">
        <v>22</v>
      </c>
      <c r="B4" s="4">
        <v>4392.57</v>
      </c>
    </row>
    <row r="5" spans="1:2" x14ac:dyDescent="0.3">
      <c r="A5" s="3" t="s">
        <v>13</v>
      </c>
      <c r="B5" s="4">
        <v>2034.31</v>
      </c>
    </row>
    <row r="6" spans="1:2" x14ac:dyDescent="0.3">
      <c r="A6" s="3" t="s">
        <v>16</v>
      </c>
      <c r="B6" s="4">
        <v>3360.64</v>
      </c>
    </row>
    <row r="7" spans="1:2" x14ac:dyDescent="0.3">
      <c r="A7" s="3" t="s">
        <v>9</v>
      </c>
      <c r="B7" s="4">
        <v>4425.6099999999997</v>
      </c>
    </row>
    <row r="8" spans="1:2" x14ac:dyDescent="0.3">
      <c r="A8" s="3" t="s">
        <v>88</v>
      </c>
      <c r="B8" s="4">
        <v>14213.129999999997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1"/>
  <sheetViews>
    <sheetView workbookViewId="0">
      <selection sqref="A1:K61"/>
    </sheetView>
  </sheetViews>
  <sheetFormatPr defaultRowHeight="14.4" x14ac:dyDescent="0.3"/>
  <cols>
    <col min="2" max="2" width="8.88671875" style="1"/>
  </cols>
  <sheetData>
    <row r="1" spans="1:11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87</v>
      </c>
      <c r="K1" t="s">
        <v>103</v>
      </c>
    </row>
    <row r="2" spans="1:11" x14ac:dyDescent="0.3">
      <c r="A2" t="s">
        <v>8</v>
      </c>
      <c r="B2" s="1">
        <v>45952</v>
      </c>
      <c r="C2" t="s">
        <v>9</v>
      </c>
      <c r="D2" t="s">
        <v>10</v>
      </c>
      <c r="E2" t="s">
        <v>11</v>
      </c>
      <c r="F2">
        <v>6</v>
      </c>
      <c r="G2">
        <v>1890.5</v>
      </c>
      <c r="H2">
        <v>308.95</v>
      </c>
      <c r="I2">
        <f>H2/G2*100</f>
        <v>16.342237503306002</v>
      </c>
      <c r="K2" t="str">
        <f>IF(G2&gt;1000,"high","medium")</f>
        <v>high</v>
      </c>
    </row>
    <row r="3" spans="1:11" x14ac:dyDescent="0.3">
      <c r="A3" t="s">
        <v>12</v>
      </c>
      <c r="B3" s="1">
        <v>45763</v>
      </c>
      <c r="C3" t="s">
        <v>13</v>
      </c>
      <c r="D3" t="s">
        <v>10</v>
      </c>
      <c r="E3" t="s">
        <v>14</v>
      </c>
      <c r="F3">
        <v>1</v>
      </c>
      <c r="G3">
        <v>226.84</v>
      </c>
      <c r="H3">
        <v>18.38</v>
      </c>
      <c r="I3">
        <f t="shared" ref="I3:I61" si="0">H3/G3*100</f>
        <v>8.1026274025745018</v>
      </c>
      <c r="K3" t="str">
        <f t="shared" ref="K3:K61" si="1">IF(G3&gt;1000,"high","medium")</f>
        <v>medium</v>
      </c>
    </row>
    <row r="4" spans="1:11" x14ac:dyDescent="0.3">
      <c r="A4" t="s">
        <v>15</v>
      </c>
      <c r="B4" s="1">
        <v>45923</v>
      </c>
      <c r="C4" t="s">
        <v>16</v>
      </c>
      <c r="D4" t="s">
        <v>10</v>
      </c>
      <c r="E4" t="s">
        <v>17</v>
      </c>
      <c r="F4">
        <v>10</v>
      </c>
      <c r="G4">
        <v>508.61</v>
      </c>
      <c r="H4">
        <v>51.49</v>
      </c>
      <c r="I4">
        <f t="shared" si="0"/>
        <v>10.12367039578459</v>
      </c>
      <c r="K4" t="str">
        <f t="shared" si="1"/>
        <v>medium</v>
      </c>
    </row>
    <row r="5" spans="1:11" x14ac:dyDescent="0.3">
      <c r="A5" t="s">
        <v>18</v>
      </c>
      <c r="B5" s="1">
        <v>45690</v>
      </c>
      <c r="C5" t="s">
        <v>16</v>
      </c>
      <c r="D5" t="s">
        <v>19</v>
      </c>
      <c r="E5" t="s">
        <v>20</v>
      </c>
      <c r="F5">
        <v>5</v>
      </c>
      <c r="G5">
        <v>1323.61</v>
      </c>
      <c r="H5">
        <v>252.06</v>
      </c>
      <c r="I5">
        <f t="shared" si="0"/>
        <v>19.043373803461748</v>
      </c>
      <c r="K5" t="str">
        <f t="shared" si="1"/>
        <v>high</v>
      </c>
    </row>
    <row r="6" spans="1:11" x14ac:dyDescent="0.3">
      <c r="A6" t="s">
        <v>21</v>
      </c>
      <c r="B6" s="1">
        <v>45891</v>
      </c>
      <c r="C6" t="s">
        <v>22</v>
      </c>
      <c r="D6" t="s">
        <v>10</v>
      </c>
      <c r="E6" t="s">
        <v>14</v>
      </c>
      <c r="F6">
        <v>2</v>
      </c>
      <c r="G6">
        <v>312.02999999999997</v>
      </c>
      <c r="H6">
        <v>92.45</v>
      </c>
      <c r="I6">
        <f t="shared" si="0"/>
        <v>29.628561356279846</v>
      </c>
      <c r="K6" t="str">
        <f t="shared" si="1"/>
        <v>medium</v>
      </c>
    </row>
    <row r="7" spans="1:11" x14ac:dyDescent="0.3">
      <c r="A7" t="s">
        <v>23</v>
      </c>
      <c r="B7" s="1">
        <v>45658</v>
      </c>
      <c r="C7" t="s">
        <v>16</v>
      </c>
      <c r="D7" t="s">
        <v>10</v>
      </c>
      <c r="E7" t="s">
        <v>14</v>
      </c>
      <c r="F7">
        <v>1</v>
      </c>
      <c r="G7">
        <v>207.81</v>
      </c>
      <c r="H7">
        <v>27.72</v>
      </c>
      <c r="I7">
        <f t="shared" si="0"/>
        <v>13.339107838891294</v>
      </c>
      <c r="K7" t="str">
        <f t="shared" si="1"/>
        <v>medium</v>
      </c>
    </row>
    <row r="8" spans="1:11" x14ac:dyDescent="0.3">
      <c r="A8" t="s">
        <v>24</v>
      </c>
      <c r="B8" s="1">
        <v>45897</v>
      </c>
      <c r="C8" t="s">
        <v>16</v>
      </c>
      <c r="D8" t="s">
        <v>25</v>
      </c>
      <c r="E8" t="s">
        <v>26</v>
      </c>
      <c r="F8">
        <v>6</v>
      </c>
      <c r="G8">
        <v>223.24</v>
      </c>
      <c r="H8">
        <v>65.459999999999994</v>
      </c>
      <c r="I8">
        <f t="shared" si="0"/>
        <v>29.322702024726748</v>
      </c>
      <c r="K8" t="str">
        <f t="shared" si="1"/>
        <v>medium</v>
      </c>
    </row>
    <row r="9" spans="1:11" x14ac:dyDescent="0.3">
      <c r="A9" t="s">
        <v>27</v>
      </c>
      <c r="B9" s="1">
        <v>45951</v>
      </c>
      <c r="C9" t="s">
        <v>22</v>
      </c>
      <c r="D9" t="s">
        <v>25</v>
      </c>
      <c r="E9" t="s">
        <v>28</v>
      </c>
      <c r="F9">
        <v>5</v>
      </c>
      <c r="G9">
        <v>2037.54</v>
      </c>
      <c r="H9">
        <v>505.78</v>
      </c>
      <c r="I9">
        <f t="shared" si="0"/>
        <v>24.823070958116158</v>
      </c>
      <c r="K9" t="str">
        <f t="shared" si="1"/>
        <v>high</v>
      </c>
    </row>
    <row r="10" spans="1:11" x14ac:dyDescent="0.3">
      <c r="A10" t="s">
        <v>29</v>
      </c>
      <c r="B10" s="1">
        <v>45853</v>
      </c>
      <c r="C10" t="s">
        <v>16</v>
      </c>
      <c r="D10" t="s">
        <v>19</v>
      </c>
      <c r="E10" t="s">
        <v>30</v>
      </c>
      <c r="F10">
        <v>4</v>
      </c>
      <c r="G10">
        <v>195.66</v>
      </c>
      <c r="H10">
        <v>29.54</v>
      </c>
      <c r="I10">
        <f t="shared" si="0"/>
        <v>15.097618317489522</v>
      </c>
      <c r="K10" t="str">
        <f t="shared" si="1"/>
        <v>medium</v>
      </c>
    </row>
    <row r="11" spans="1:11" x14ac:dyDescent="0.3">
      <c r="A11" t="s">
        <v>31</v>
      </c>
      <c r="B11" s="1">
        <v>45892</v>
      </c>
      <c r="C11" t="s">
        <v>13</v>
      </c>
      <c r="D11" t="s">
        <v>10</v>
      </c>
      <c r="E11" t="s">
        <v>11</v>
      </c>
      <c r="F11">
        <v>3</v>
      </c>
      <c r="G11">
        <v>824.24</v>
      </c>
      <c r="H11">
        <v>85.27</v>
      </c>
      <c r="I11">
        <f t="shared" si="0"/>
        <v>10.345287780258177</v>
      </c>
      <c r="K11" t="str">
        <f t="shared" si="1"/>
        <v>medium</v>
      </c>
    </row>
    <row r="12" spans="1:11" x14ac:dyDescent="0.3">
      <c r="A12" t="s">
        <v>32</v>
      </c>
      <c r="B12" s="1">
        <v>45675</v>
      </c>
      <c r="C12" t="s">
        <v>13</v>
      </c>
      <c r="D12" t="s">
        <v>25</v>
      </c>
      <c r="E12" t="s">
        <v>26</v>
      </c>
      <c r="F12">
        <v>1</v>
      </c>
      <c r="G12">
        <v>291.08999999999997</v>
      </c>
      <c r="H12">
        <v>61.88</v>
      </c>
      <c r="I12">
        <f t="shared" si="0"/>
        <v>21.258030162492702</v>
      </c>
      <c r="K12" t="str">
        <f t="shared" si="1"/>
        <v>medium</v>
      </c>
    </row>
    <row r="13" spans="1:11" x14ac:dyDescent="0.3">
      <c r="A13" t="s">
        <v>33</v>
      </c>
      <c r="B13" s="1">
        <v>45767</v>
      </c>
      <c r="C13" t="s">
        <v>16</v>
      </c>
      <c r="D13" t="s">
        <v>25</v>
      </c>
      <c r="E13" t="s">
        <v>34</v>
      </c>
      <c r="F13">
        <v>1</v>
      </c>
      <c r="G13">
        <v>442.86</v>
      </c>
      <c r="H13">
        <v>47.49</v>
      </c>
      <c r="I13">
        <f t="shared" si="0"/>
        <v>10.723479203359979</v>
      </c>
      <c r="K13" t="str">
        <f t="shared" si="1"/>
        <v>medium</v>
      </c>
    </row>
    <row r="14" spans="1:11" x14ac:dyDescent="0.3">
      <c r="A14" t="s">
        <v>35</v>
      </c>
      <c r="B14" s="1">
        <v>45679</v>
      </c>
      <c r="C14" t="s">
        <v>16</v>
      </c>
      <c r="D14" t="s">
        <v>10</v>
      </c>
      <c r="E14" t="s">
        <v>17</v>
      </c>
      <c r="F14">
        <v>5</v>
      </c>
      <c r="G14">
        <v>1548.85</v>
      </c>
      <c r="H14">
        <v>243.31</v>
      </c>
      <c r="I14">
        <f t="shared" si="0"/>
        <v>15.709074474610196</v>
      </c>
      <c r="K14" t="str">
        <f t="shared" si="1"/>
        <v>high</v>
      </c>
    </row>
    <row r="15" spans="1:11" x14ac:dyDescent="0.3">
      <c r="A15" t="s">
        <v>36</v>
      </c>
      <c r="B15" s="1">
        <v>45801</v>
      </c>
      <c r="C15" t="s">
        <v>16</v>
      </c>
      <c r="D15" t="s">
        <v>10</v>
      </c>
      <c r="E15" t="s">
        <v>14</v>
      </c>
      <c r="F15">
        <v>1</v>
      </c>
      <c r="G15">
        <v>59.34</v>
      </c>
      <c r="H15">
        <v>3.21</v>
      </c>
      <c r="I15">
        <f t="shared" si="0"/>
        <v>5.4095045500505554</v>
      </c>
      <c r="K15" t="str">
        <f t="shared" si="1"/>
        <v>medium</v>
      </c>
    </row>
    <row r="16" spans="1:11" x14ac:dyDescent="0.3">
      <c r="A16" t="s">
        <v>37</v>
      </c>
      <c r="B16" s="1">
        <v>45784</v>
      </c>
      <c r="C16" t="s">
        <v>13</v>
      </c>
      <c r="D16" t="s">
        <v>25</v>
      </c>
      <c r="E16" t="s">
        <v>38</v>
      </c>
      <c r="F16">
        <v>4</v>
      </c>
      <c r="G16">
        <v>721.91</v>
      </c>
      <c r="H16">
        <v>183.27</v>
      </c>
      <c r="I16">
        <f t="shared" si="0"/>
        <v>25.386821071878767</v>
      </c>
      <c r="K16" t="str">
        <f t="shared" si="1"/>
        <v>medium</v>
      </c>
    </row>
    <row r="17" spans="1:11" x14ac:dyDescent="0.3">
      <c r="A17" t="s">
        <v>39</v>
      </c>
      <c r="B17" s="1">
        <v>46009</v>
      </c>
      <c r="C17" t="s">
        <v>22</v>
      </c>
      <c r="D17" t="s">
        <v>10</v>
      </c>
      <c r="E17" t="s">
        <v>14</v>
      </c>
      <c r="F17">
        <v>7</v>
      </c>
      <c r="G17">
        <v>1451.89</v>
      </c>
      <c r="H17">
        <v>158.69</v>
      </c>
      <c r="I17">
        <f t="shared" si="0"/>
        <v>10.929891382956008</v>
      </c>
      <c r="K17" t="str">
        <f t="shared" si="1"/>
        <v>high</v>
      </c>
    </row>
    <row r="18" spans="1:11" x14ac:dyDescent="0.3">
      <c r="A18" t="s">
        <v>40</v>
      </c>
      <c r="B18" s="1">
        <v>45821</v>
      </c>
      <c r="C18" t="s">
        <v>13</v>
      </c>
      <c r="D18" t="s">
        <v>25</v>
      </c>
      <c r="E18" t="s">
        <v>34</v>
      </c>
      <c r="F18">
        <v>8</v>
      </c>
      <c r="G18">
        <v>1070.99</v>
      </c>
      <c r="H18">
        <v>222.95</v>
      </c>
      <c r="I18">
        <f t="shared" si="0"/>
        <v>20.817187835554019</v>
      </c>
      <c r="K18" t="str">
        <f t="shared" si="1"/>
        <v>high</v>
      </c>
    </row>
    <row r="19" spans="1:11" x14ac:dyDescent="0.3">
      <c r="A19" t="s">
        <v>41</v>
      </c>
      <c r="B19" s="1">
        <v>45717</v>
      </c>
      <c r="C19" t="s">
        <v>13</v>
      </c>
      <c r="D19" t="s">
        <v>19</v>
      </c>
      <c r="E19" t="s">
        <v>30</v>
      </c>
      <c r="F19">
        <v>1</v>
      </c>
      <c r="G19">
        <v>49.31</v>
      </c>
      <c r="H19">
        <v>12.54</v>
      </c>
      <c r="I19">
        <f t="shared" si="0"/>
        <v>25.430947069559924</v>
      </c>
      <c r="K19" t="str">
        <f t="shared" si="1"/>
        <v>medium</v>
      </c>
    </row>
    <row r="20" spans="1:11" x14ac:dyDescent="0.3">
      <c r="A20" t="s">
        <v>42</v>
      </c>
      <c r="B20" s="1">
        <v>45706</v>
      </c>
      <c r="C20" t="s">
        <v>9</v>
      </c>
      <c r="D20" t="s">
        <v>10</v>
      </c>
      <c r="E20" t="s">
        <v>14</v>
      </c>
      <c r="F20">
        <v>10</v>
      </c>
      <c r="G20">
        <v>4976.58</v>
      </c>
      <c r="H20">
        <v>346.9</v>
      </c>
      <c r="I20">
        <f t="shared" si="0"/>
        <v>6.9706505270687904</v>
      </c>
      <c r="K20" t="str">
        <f t="shared" si="1"/>
        <v>high</v>
      </c>
    </row>
    <row r="21" spans="1:11" x14ac:dyDescent="0.3">
      <c r="A21" t="s">
        <v>43</v>
      </c>
      <c r="B21" s="1">
        <v>45912</v>
      </c>
      <c r="C21" t="s">
        <v>16</v>
      </c>
      <c r="D21" t="s">
        <v>19</v>
      </c>
      <c r="E21" t="s">
        <v>30</v>
      </c>
      <c r="F21">
        <v>6</v>
      </c>
      <c r="G21">
        <v>666.82</v>
      </c>
      <c r="H21">
        <v>88.25</v>
      </c>
      <c r="I21">
        <f t="shared" si="0"/>
        <v>13.234456075102724</v>
      </c>
      <c r="K21" t="str">
        <f t="shared" si="1"/>
        <v>medium</v>
      </c>
    </row>
    <row r="22" spans="1:11" x14ac:dyDescent="0.3">
      <c r="A22" t="s">
        <v>44</v>
      </c>
      <c r="B22" s="1">
        <v>45866</v>
      </c>
      <c r="C22" t="s">
        <v>13</v>
      </c>
      <c r="D22" t="s">
        <v>10</v>
      </c>
      <c r="E22" t="s">
        <v>11</v>
      </c>
      <c r="F22">
        <v>4</v>
      </c>
      <c r="G22">
        <v>111.58</v>
      </c>
      <c r="H22">
        <v>33.33</v>
      </c>
      <c r="I22">
        <f t="shared" si="0"/>
        <v>29.87094461373006</v>
      </c>
      <c r="K22" t="str">
        <f t="shared" si="1"/>
        <v>medium</v>
      </c>
    </row>
    <row r="23" spans="1:11" x14ac:dyDescent="0.3">
      <c r="A23" t="s">
        <v>45</v>
      </c>
      <c r="B23" s="1">
        <v>45837</v>
      </c>
      <c r="C23" t="s">
        <v>9</v>
      </c>
      <c r="D23" t="s">
        <v>25</v>
      </c>
      <c r="E23" t="s">
        <v>26</v>
      </c>
      <c r="F23">
        <v>5</v>
      </c>
      <c r="G23">
        <v>155.19</v>
      </c>
      <c r="H23">
        <v>36.380000000000003</v>
      </c>
      <c r="I23">
        <f t="shared" si="0"/>
        <v>23.442232102583933</v>
      </c>
      <c r="K23" t="str">
        <f t="shared" si="1"/>
        <v>medium</v>
      </c>
    </row>
    <row r="24" spans="1:11" x14ac:dyDescent="0.3">
      <c r="A24" t="s">
        <v>46</v>
      </c>
      <c r="B24" s="1">
        <v>45708</v>
      </c>
      <c r="C24" t="s">
        <v>16</v>
      </c>
      <c r="D24" t="s">
        <v>25</v>
      </c>
      <c r="E24" t="s">
        <v>38</v>
      </c>
      <c r="F24">
        <v>3</v>
      </c>
      <c r="G24">
        <v>302.14999999999998</v>
      </c>
      <c r="H24">
        <v>50.57</v>
      </c>
      <c r="I24">
        <f t="shared" si="0"/>
        <v>16.73672017209995</v>
      </c>
      <c r="K24" t="str">
        <f t="shared" si="1"/>
        <v>medium</v>
      </c>
    </row>
    <row r="25" spans="1:11" x14ac:dyDescent="0.3">
      <c r="A25" t="s">
        <v>47</v>
      </c>
      <c r="B25" s="1">
        <v>45810</v>
      </c>
      <c r="C25" t="s">
        <v>16</v>
      </c>
      <c r="D25" t="s">
        <v>19</v>
      </c>
      <c r="E25" t="s">
        <v>20</v>
      </c>
      <c r="F25">
        <v>7</v>
      </c>
      <c r="G25">
        <v>2641.15</v>
      </c>
      <c r="H25">
        <v>621.22</v>
      </c>
      <c r="I25">
        <f t="shared" si="0"/>
        <v>23.520814796584823</v>
      </c>
      <c r="K25" t="str">
        <f t="shared" si="1"/>
        <v>high</v>
      </c>
    </row>
    <row r="26" spans="1:11" x14ac:dyDescent="0.3">
      <c r="A26" t="s">
        <v>48</v>
      </c>
      <c r="B26" s="1">
        <v>45983</v>
      </c>
      <c r="C26" t="s">
        <v>22</v>
      </c>
      <c r="D26" t="s">
        <v>19</v>
      </c>
      <c r="E26" t="s">
        <v>20</v>
      </c>
      <c r="F26">
        <v>8</v>
      </c>
      <c r="G26">
        <v>582.95000000000005</v>
      </c>
      <c r="H26">
        <v>103.14</v>
      </c>
      <c r="I26">
        <f t="shared" si="0"/>
        <v>17.692769534265373</v>
      </c>
      <c r="K26" t="str">
        <f t="shared" si="1"/>
        <v>medium</v>
      </c>
    </row>
    <row r="27" spans="1:11" x14ac:dyDescent="0.3">
      <c r="A27" t="s">
        <v>49</v>
      </c>
      <c r="B27" s="1">
        <v>45918</v>
      </c>
      <c r="C27" t="s">
        <v>9</v>
      </c>
      <c r="D27" t="s">
        <v>10</v>
      </c>
      <c r="E27" t="s">
        <v>11</v>
      </c>
      <c r="F27">
        <v>9</v>
      </c>
      <c r="G27">
        <v>2568.46</v>
      </c>
      <c r="H27">
        <v>336.34</v>
      </c>
      <c r="I27">
        <f t="shared" si="0"/>
        <v>13.095006346215241</v>
      </c>
      <c r="K27" t="str">
        <f t="shared" si="1"/>
        <v>high</v>
      </c>
    </row>
    <row r="28" spans="1:11" x14ac:dyDescent="0.3">
      <c r="A28" t="s">
        <v>50</v>
      </c>
      <c r="B28" s="1">
        <v>45903</v>
      </c>
      <c r="C28" t="s">
        <v>9</v>
      </c>
      <c r="D28" t="s">
        <v>10</v>
      </c>
      <c r="E28" t="s">
        <v>51</v>
      </c>
      <c r="F28">
        <v>5</v>
      </c>
      <c r="G28">
        <v>2464.92</v>
      </c>
      <c r="H28">
        <v>308.69</v>
      </c>
      <c r="I28">
        <f t="shared" si="0"/>
        <v>12.523327329081674</v>
      </c>
      <c r="K28" t="str">
        <f t="shared" si="1"/>
        <v>high</v>
      </c>
    </row>
    <row r="29" spans="1:11" x14ac:dyDescent="0.3">
      <c r="A29" t="s">
        <v>52</v>
      </c>
      <c r="B29" s="1">
        <v>45698</v>
      </c>
      <c r="C29" t="s">
        <v>9</v>
      </c>
      <c r="D29" t="s">
        <v>19</v>
      </c>
      <c r="E29" t="s">
        <v>53</v>
      </c>
      <c r="F29">
        <v>9</v>
      </c>
      <c r="G29">
        <v>3979.72</v>
      </c>
      <c r="H29">
        <v>782.39</v>
      </c>
      <c r="I29">
        <f t="shared" si="0"/>
        <v>19.65942327600937</v>
      </c>
      <c r="K29" t="str">
        <f t="shared" si="1"/>
        <v>high</v>
      </c>
    </row>
    <row r="30" spans="1:11" x14ac:dyDescent="0.3">
      <c r="A30" t="s">
        <v>54</v>
      </c>
      <c r="B30" s="1">
        <v>45782</v>
      </c>
      <c r="C30" t="s">
        <v>13</v>
      </c>
      <c r="D30" t="s">
        <v>19</v>
      </c>
      <c r="E30" t="s">
        <v>30</v>
      </c>
      <c r="F30">
        <v>5</v>
      </c>
      <c r="G30">
        <v>110.27</v>
      </c>
      <c r="H30">
        <v>17.440000000000001</v>
      </c>
      <c r="I30">
        <f t="shared" si="0"/>
        <v>15.815725038541764</v>
      </c>
      <c r="K30" t="str">
        <f t="shared" si="1"/>
        <v>medium</v>
      </c>
    </row>
    <row r="31" spans="1:11" x14ac:dyDescent="0.3">
      <c r="A31" t="s">
        <v>55</v>
      </c>
      <c r="B31" s="1">
        <v>45873</v>
      </c>
      <c r="C31" t="s">
        <v>9</v>
      </c>
      <c r="D31" t="s">
        <v>10</v>
      </c>
      <c r="E31" t="s">
        <v>17</v>
      </c>
      <c r="F31">
        <v>9</v>
      </c>
      <c r="G31">
        <v>3292.49</v>
      </c>
      <c r="H31">
        <v>748.48</v>
      </c>
      <c r="I31">
        <f t="shared" si="0"/>
        <v>22.732946797104926</v>
      </c>
      <c r="K31" t="str">
        <f t="shared" si="1"/>
        <v>high</v>
      </c>
    </row>
    <row r="32" spans="1:11" x14ac:dyDescent="0.3">
      <c r="A32" t="s">
        <v>56</v>
      </c>
      <c r="B32" s="1">
        <v>45936</v>
      </c>
      <c r="C32" t="s">
        <v>13</v>
      </c>
      <c r="D32" t="s">
        <v>10</v>
      </c>
      <c r="E32" t="s">
        <v>51</v>
      </c>
      <c r="F32">
        <v>7</v>
      </c>
      <c r="G32">
        <v>477.12</v>
      </c>
      <c r="H32">
        <v>111.73</v>
      </c>
      <c r="I32">
        <f t="shared" si="0"/>
        <v>23.41758886653253</v>
      </c>
      <c r="K32" t="str">
        <f t="shared" si="1"/>
        <v>medium</v>
      </c>
    </row>
    <row r="33" spans="1:11" x14ac:dyDescent="0.3">
      <c r="A33" t="s">
        <v>57</v>
      </c>
      <c r="B33" s="1">
        <v>45992</v>
      </c>
      <c r="C33" t="s">
        <v>16</v>
      </c>
      <c r="D33" t="s">
        <v>25</v>
      </c>
      <c r="E33" t="s">
        <v>26</v>
      </c>
      <c r="F33">
        <v>7</v>
      </c>
      <c r="G33">
        <v>3100.55</v>
      </c>
      <c r="H33">
        <v>474.4</v>
      </c>
      <c r="I33">
        <f t="shared" si="0"/>
        <v>15.300511199625872</v>
      </c>
      <c r="K33" t="str">
        <f t="shared" si="1"/>
        <v>high</v>
      </c>
    </row>
    <row r="34" spans="1:11" x14ac:dyDescent="0.3">
      <c r="A34" t="s">
        <v>58</v>
      </c>
      <c r="B34" s="1">
        <v>45883</v>
      </c>
      <c r="C34" t="s">
        <v>9</v>
      </c>
      <c r="D34" t="s">
        <v>25</v>
      </c>
      <c r="E34" t="s">
        <v>34</v>
      </c>
      <c r="F34">
        <v>9</v>
      </c>
      <c r="G34">
        <v>1572.25</v>
      </c>
      <c r="H34">
        <v>109.34</v>
      </c>
      <c r="I34">
        <f t="shared" si="0"/>
        <v>6.9543647638734303</v>
      </c>
      <c r="K34" t="str">
        <f t="shared" si="1"/>
        <v>high</v>
      </c>
    </row>
    <row r="35" spans="1:11" x14ac:dyDescent="0.3">
      <c r="A35" t="s">
        <v>59</v>
      </c>
      <c r="B35" s="1">
        <v>45979</v>
      </c>
      <c r="C35" t="s">
        <v>22</v>
      </c>
      <c r="D35" t="s">
        <v>10</v>
      </c>
      <c r="E35" t="s">
        <v>17</v>
      </c>
      <c r="F35">
        <v>6</v>
      </c>
      <c r="G35">
        <v>1232.81</v>
      </c>
      <c r="H35">
        <v>256.27</v>
      </c>
      <c r="I35">
        <f t="shared" si="0"/>
        <v>20.78746927750424</v>
      </c>
      <c r="K35" t="str">
        <f t="shared" si="1"/>
        <v>high</v>
      </c>
    </row>
    <row r="36" spans="1:11" x14ac:dyDescent="0.3">
      <c r="A36" t="s">
        <v>60</v>
      </c>
      <c r="B36" s="1">
        <v>45858</v>
      </c>
      <c r="C36" t="s">
        <v>22</v>
      </c>
      <c r="D36" t="s">
        <v>25</v>
      </c>
      <c r="E36" t="s">
        <v>38</v>
      </c>
      <c r="F36">
        <v>6</v>
      </c>
      <c r="G36">
        <v>1305.24</v>
      </c>
      <c r="H36">
        <v>335.26</v>
      </c>
      <c r="I36">
        <f t="shared" si="0"/>
        <v>25.685697649474427</v>
      </c>
      <c r="K36" t="str">
        <f t="shared" si="1"/>
        <v>high</v>
      </c>
    </row>
    <row r="37" spans="1:11" x14ac:dyDescent="0.3">
      <c r="A37" t="s">
        <v>61</v>
      </c>
      <c r="B37" s="1">
        <v>45677</v>
      </c>
      <c r="C37" t="s">
        <v>22</v>
      </c>
      <c r="D37" t="s">
        <v>19</v>
      </c>
      <c r="E37" t="s">
        <v>62</v>
      </c>
      <c r="F37">
        <v>5</v>
      </c>
      <c r="G37">
        <v>1978.27</v>
      </c>
      <c r="H37">
        <v>210.08</v>
      </c>
      <c r="I37">
        <f t="shared" si="0"/>
        <v>10.61937955890753</v>
      </c>
      <c r="K37" t="str">
        <f t="shared" si="1"/>
        <v>high</v>
      </c>
    </row>
    <row r="38" spans="1:11" x14ac:dyDescent="0.3">
      <c r="A38" t="s">
        <v>63</v>
      </c>
      <c r="B38" s="1">
        <v>45661</v>
      </c>
      <c r="C38" t="s">
        <v>16</v>
      </c>
      <c r="D38" t="s">
        <v>10</v>
      </c>
      <c r="E38" t="s">
        <v>14</v>
      </c>
      <c r="F38">
        <v>8</v>
      </c>
      <c r="G38">
        <v>3959.02</v>
      </c>
      <c r="H38">
        <v>838.7</v>
      </c>
      <c r="I38">
        <f t="shared" si="0"/>
        <v>21.184535566882715</v>
      </c>
      <c r="K38" t="str">
        <f t="shared" si="1"/>
        <v>high</v>
      </c>
    </row>
    <row r="39" spans="1:11" x14ac:dyDescent="0.3">
      <c r="A39" t="s">
        <v>64</v>
      </c>
      <c r="B39" s="1">
        <v>45721</v>
      </c>
      <c r="C39" t="s">
        <v>22</v>
      </c>
      <c r="D39" t="s">
        <v>19</v>
      </c>
      <c r="E39" t="s">
        <v>62</v>
      </c>
      <c r="F39">
        <v>9</v>
      </c>
      <c r="G39">
        <v>1802.92</v>
      </c>
      <c r="H39">
        <v>361.09</v>
      </c>
      <c r="I39">
        <f t="shared" si="0"/>
        <v>20.028065582499501</v>
      </c>
      <c r="K39" t="str">
        <f t="shared" si="1"/>
        <v>high</v>
      </c>
    </row>
    <row r="40" spans="1:11" x14ac:dyDescent="0.3">
      <c r="A40" t="s">
        <v>65</v>
      </c>
      <c r="B40" s="1">
        <v>45922</v>
      </c>
      <c r="C40" t="s">
        <v>9</v>
      </c>
      <c r="D40" t="s">
        <v>10</v>
      </c>
      <c r="E40" t="s">
        <v>11</v>
      </c>
      <c r="F40">
        <v>3</v>
      </c>
      <c r="G40">
        <v>1392.58</v>
      </c>
      <c r="H40">
        <v>192.2</v>
      </c>
      <c r="I40">
        <f t="shared" si="0"/>
        <v>13.801720547473034</v>
      </c>
      <c r="K40" t="str">
        <f t="shared" si="1"/>
        <v>high</v>
      </c>
    </row>
    <row r="41" spans="1:11" x14ac:dyDescent="0.3">
      <c r="A41" t="s">
        <v>66</v>
      </c>
      <c r="B41" s="1">
        <v>45721</v>
      </c>
      <c r="C41" t="s">
        <v>16</v>
      </c>
      <c r="D41" t="s">
        <v>10</v>
      </c>
      <c r="E41" t="s">
        <v>11</v>
      </c>
      <c r="F41">
        <v>1</v>
      </c>
      <c r="G41">
        <v>396.33</v>
      </c>
      <c r="H41">
        <v>109.37</v>
      </c>
      <c r="I41">
        <f t="shared" si="0"/>
        <v>27.595690459970228</v>
      </c>
      <c r="K41" t="str">
        <f t="shared" si="1"/>
        <v>medium</v>
      </c>
    </row>
    <row r="42" spans="1:11" x14ac:dyDescent="0.3">
      <c r="A42" t="s">
        <v>67</v>
      </c>
      <c r="B42" s="1">
        <v>45878</v>
      </c>
      <c r="C42" t="s">
        <v>22</v>
      </c>
      <c r="D42" t="s">
        <v>19</v>
      </c>
      <c r="E42" t="s">
        <v>62</v>
      </c>
      <c r="F42">
        <v>7</v>
      </c>
      <c r="G42">
        <v>1604.09</v>
      </c>
      <c r="H42">
        <v>240.3</v>
      </c>
      <c r="I42">
        <f t="shared" si="0"/>
        <v>14.980456208816214</v>
      </c>
      <c r="K42" t="str">
        <f t="shared" si="1"/>
        <v>high</v>
      </c>
    </row>
    <row r="43" spans="1:11" x14ac:dyDescent="0.3">
      <c r="A43" t="s">
        <v>68</v>
      </c>
      <c r="B43" s="1">
        <v>45830</v>
      </c>
      <c r="C43" t="s">
        <v>13</v>
      </c>
      <c r="D43" t="s">
        <v>25</v>
      </c>
      <c r="E43" t="s">
        <v>34</v>
      </c>
      <c r="F43">
        <v>3</v>
      </c>
      <c r="G43">
        <v>770.26</v>
      </c>
      <c r="H43">
        <v>49.26</v>
      </c>
      <c r="I43">
        <f t="shared" si="0"/>
        <v>6.3952431646457049</v>
      </c>
      <c r="K43" t="str">
        <f t="shared" si="1"/>
        <v>medium</v>
      </c>
    </row>
    <row r="44" spans="1:11" x14ac:dyDescent="0.3">
      <c r="A44" t="s">
        <v>69</v>
      </c>
      <c r="B44" s="1">
        <v>45714</v>
      </c>
      <c r="C44" t="s">
        <v>16</v>
      </c>
      <c r="D44" t="s">
        <v>25</v>
      </c>
      <c r="E44" t="s">
        <v>34</v>
      </c>
      <c r="F44">
        <v>4</v>
      </c>
      <c r="G44">
        <v>635.04</v>
      </c>
      <c r="H44">
        <v>153.18</v>
      </c>
      <c r="I44">
        <f t="shared" si="0"/>
        <v>24.121315192743769</v>
      </c>
      <c r="K44" t="str">
        <f t="shared" si="1"/>
        <v>medium</v>
      </c>
    </row>
    <row r="45" spans="1:11" x14ac:dyDescent="0.3">
      <c r="A45" t="s">
        <v>70</v>
      </c>
      <c r="B45" s="1">
        <v>45677</v>
      </c>
      <c r="C45" t="s">
        <v>22</v>
      </c>
      <c r="D45" t="s">
        <v>25</v>
      </c>
      <c r="E45" t="s">
        <v>26</v>
      </c>
      <c r="F45">
        <v>2</v>
      </c>
      <c r="G45">
        <v>639.39</v>
      </c>
      <c r="H45">
        <v>109.4</v>
      </c>
      <c r="I45">
        <f t="shared" si="0"/>
        <v>17.11005802405418</v>
      </c>
      <c r="K45" t="str">
        <f t="shared" si="1"/>
        <v>medium</v>
      </c>
    </row>
    <row r="46" spans="1:11" x14ac:dyDescent="0.3">
      <c r="A46" t="s">
        <v>71</v>
      </c>
      <c r="B46" s="1">
        <v>45931</v>
      </c>
      <c r="C46" t="s">
        <v>13</v>
      </c>
      <c r="D46" t="s">
        <v>19</v>
      </c>
      <c r="E46" t="s">
        <v>30</v>
      </c>
      <c r="F46">
        <v>8</v>
      </c>
      <c r="G46">
        <v>1481.16</v>
      </c>
      <c r="H46">
        <v>365.64</v>
      </c>
      <c r="I46">
        <f t="shared" si="0"/>
        <v>24.68605687434173</v>
      </c>
      <c r="K46" t="str">
        <f t="shared" si="1"/>
        <v>high</v>
      </c>
    </row>
    <row r="47" spans="1:11" x14ac:dyDescent="0.3">
      <c r="A47" t="s">
        <v>72</v>
      </c>
      <c r="B47" s="1">
        <v>45987</v>
      </c>
      <c r="C47" t="s">
        <v>22</v>
      </c>
      <c r="D47" t="s">
        <v>25</v>
      </c>
      <c r="E47" t="s">
        <v>28</v>
      </c>
      <c r="F47">
        <v>10</v>
      </c>
      <c r="G47">
        <v>3916.69</v>
      </c>
      <c r="H47">
        <v>1077.79</v>
      </c>
      <c r="I47">
        <f t="shared" si="0"/>
        <v>27.517878616893341</v>
      </c>
      <c r="K47" t="str">
        <f t="shared" si="1"/>
        <v>high</v>
      </c>
    </row>
    <row r="48" spans="1:11" x14ac:dyDescent="0.3">
      <c r="A48" t="s">
        <v>73</v>
      </c>
      <c r="B48" s="1">
        <v>45788</v>
      </c>
      <c r="C48" t="s">
        <v>9</v>
      </c>
      <c r="D48" t="s">
        <v>25</v>
      </c>
      <c r="E48" t="s">
        <v>26</v>
      </c>
      <c r="F48">
        <v>5</v>
      </c>
      <c r="G48">
        <v>2042.22</v>
      </c>
      <c r="H48">
        <v>268.14</v>
      </c>
      <c r="I48">
        <f t="shared" si="0"/>
        <v>13.129829303405117</v>
      </c>
      <c r="K48" t="str">
        <f t="shared" si="1"/>
        <v>high</v>
      </c>
    </row>
    <row r="49" spans="1:11" x14ac:dyDescent="0.3">
      <c r="A49" t="s">
        <v>74</v>
      </c>
      <c r="B49" s="1">
        <v>45906</v>
      </c>
      <c r="C49" t="s">
        <v>16</v>
      </c>
      <c r="D49" t="s">
        <v>25</v>
      </c>
      <c r="E49" t="s">
        <v>26</v>
      </c>
      <c r="F49">
        <v>1</v>
      </c>
      <c r="G49">
        <v>342.4</v>
      </c>
      <c r="H49">
        <v>76.11</v>
      </c>
      <c r="I49">
        <f t="shared" si="0"/>
        <v>22.228387850467289</v>
      </c>
      <c r="K49" t="str">
        <f t="shared" si="1"/>
        <v>medium</v>
      </c>
    </row>
    <row r="50" spans="1:11" x14ac:dyDescent="0.3">
      <c r="A50" t="s">
        <v>75</v>
      </c>
      <c r="B50" s="1">
        <v>45888</v>
      </c>
      <c r="C50" t="s">
        <v>22</v>
      </c>
      <c r="D50" t="s">
        <v>10</v>
      </c>
      <c r="E50" t="s">
        <v>11</v>
      </c>
      <c r="F50">
        <v>1</v>
      </c>
      <c r="G50">
        <v>307.42</v>
      </c>
      <c r="H50">
        <v>71.14</v>
      </c>
      <c r="I50">
        <f t="shared" si="0"/>
        <v>23.140979767093878</v>
      </c>
      <c r="K50" t="str">
        <f t="shared" si="1"/>
        <v>medium</v>
      </c>
    </row>
    <row r="51" spans="1:11" x14ac:dyDescent="0.3">
      <c r="A51" t="s">
        <v>76</v>
      </c>
      <c r="B51" s="1">
        <v>45853</v>
      </c>
      <c r="C51" t="s">
        <v>9</v>
      </c>
      <c r="D51" t="s">
        <v>25</v>
      </c>
      <c r="E51" t="s">
        <v>28</v>
      </c>
      <c r="F51">
        <v>6</v>
      </c>
      <c r="G51">
        <v>2725.26</v>
      </c>
      <c r="H51">
        <v>636.41999999999996</v>
      </c>
      <c r="I51">
        <f t="shared" si="0"/>
        <v>23.352634244072121</v>
      </c>
      <c r="K51" t="str">
        <f t="shared" si="1"/>
        <v>high</v>
      </c>
    </row>
    <row r="52" spans="1:11" x14ac:dyDescent="0.3">
      <c r="A52" t="s">
        <v>77</v>
      </c>
      <c r="B52" s="1">
        <v>45940</v>
      </c>
      <c r="C52" t="s">
        <v>13</v>
      </c>
      <c r="D52" t="s">
        <v>10</v>
      </c>
      <c r="E52" t="s">
        <v>11</v>
      </c>
      <c r="F52">
        <v>3</v>
      </c>
      <c r="G52">
        <v>1155.7</v>
      </c>
      <c r="H52">
        <v>147.58000000000001</v>
      </c>
      <c r="I52">
        <f t="shared" si="0"/>
        <v>12.769749935104265</v>
      </c>
      <c r="K52" t="str">
        <f t="shared" si="1"/>
        <v>high</v>
      </c>
    </row>
    <row r="53" spans="1:11" x14ac:dyDescent="0.3">
      <c r="A53" t="s">
        <v>78</v>
      </c>
      <c r="B53" s="1">
        <v>45913</v>
      </c>
      <c r="C53" t="s">
        <v>9</v>
      </c>
      <c r="D53" t="s">
        <v>10</v>
      </c>
      <c r="E53" t="s">
        <v>14</v>
      </c>
      <c r="F53">
        <v>9</v>
      </c>
      <c r="G53">
        <v>947.14</v>
      </c>
      <c r="H53">
        <v>72.09</v>
      </c>
      <c r="I53">
        <f t="shared" si="0"/>
        <v>7.6113351774816813</v>
      </c>
      <c r="K53" t="str">
        <f t="shared" si="1"/>
        <v>medium</v>
      </c>
    </row>
    <row r="54" spans="1:11" x14ac:dyDescent="0.3">
      <c r="A54" t="s">
        <v>79</v>
      </c>
      <c r="B54" s="1">
        <v>45788</v>
      </c>
      <c r="C54" t="s">
        <v>22</v>
      </c>
      <c r="D54" t="s">
        <v>19</v>
      </c>
      <c r="E54" t="s">
        <v>53</v>
      </c>
      <c r="F54">
        <v>10</v>
      </c>
      <c r="G54">
        <v>1912.74</v>
      </c>
      <c r="H54">
        <v>285.63</v>
      </c>
      <c r="I54">
        <f t="shared" si="0"/>
        <v>14.93302801217102</v>
      </c>
      <c r="K54" t="str">
        <f t="shared" si="1"/>
        <v>high</v>
      </c>
    </row>
    <row r="55" spans="1:11" x14ac:dyDescent="0.3">
      <c r="A55" t="s">
        <v>80</v>
      </c>
      <c r="B55" s="1">
        <v>45979</v>
      </c>
      <c r="C55" t="s">
        <v>9</v>
      </c>
      <c r="D55" t="s">
        <v>19</v>
      </c>
      <c r="E55" t="s">
        <v>30</v>
      </c>
      <c r="F55">
        <v>9</v>
      </c>
      <c r="G55">
        <v>775.83</v>
      </c>
      <c r="H55">
        <v>211.15</v>
      </c>
      <c r="I55">
        <f t="shared" si="0"/>
        <v>27.216013817460009</v>
      </c>
      <c r="K55" t="str">
        <f t="shared" si="1"/>
        <v>medium</v>
      </c>
    </row>
    <row r="56" spans="1:11" x14ac:dyDescent="0.3">
      <c r="A56" t="s">
        <v>81</v>
      </c>
      <c r="B56" s="1">
        <v>45673</v>
      </c>
      <c r="C56" t="s">
        <v>16</v>
      </c>
      <c r="D56" t="s">
        <v>10</v>
      </c>
      <c r="E56" t="s">
        <v>17</v>
      </c>
      <c r="F56">
        <v>2</v>
      </c>
      <c r="G56">
        <v>407.18</v>
      </c>
      <c r="H56">
        <v>75.989999999999995</v>
      </c>
      <c r="I56">
        <f t="shared" si="0"/>
        <v>18.66250798172798</v>
      </c>
      <c r="K56" t="str">
        <f t="shared" si="1"/>
        <v>medium</v>
      </c>
    </row>
    <row r="57" spans="1:11" x14ac:dyDescent="0.3">
      <c r="A57" t="s">
        <v>82</v>
      </c>
      <c r="B57" s="1">
        <v>45893</v>
      </c>
      <c r="C57" t="s">
        <v>16</v>
      </c>
      <c r="D57" t="s">
        <v>25</v>
      </c>
      <c r="E57" t="s">
        <v>26</v>
      </c>
      <c r="F57">
        <v>10</v>
      </c>
      <c r="G57">
        <v>2879.16</v>
      </c>
      <c r="H57">
        <v>152.57</v>
      </c>
      <c r="I57">
        <f t="shared" si="0"/>
        <v>5.2991150196585117</v>
      </c>
      <c r="K57" t="str">
        <f t="shared" si="1"/>
        <v>high</v>
      </c>
    </row>
    <row r="58" spans="1:11" x14ac:dyDescent="0.3">
      <c r="A58" t="s">
        <v>83</v>
      </c>
      <c r="B58" s="1">
        <v>45835</v>
      </c>
      <c r="C58" t="s">
        <v>22</v>
      </c>
      <c r="D58" t="s">
        <v>10</v>
      </c>
      <c r="E58" t="s">
        <v>51</v>
      </c>
      <c r="F58">
        <v>10</v>
      </c>
      <c r="G58">
        <v>2172.8000000000002</v>
      </c>
      <c r="H58">
        <v>474.64</v>
      </c>
      <c r="I58">
        <f t="shared" si="0"/>
        <v>21.84462444771723</v>
      </c>
      <c r="K58" t="str">
        <f t="shared" si="1"/>
        <v>high</v>
      </c>
    </row>
    <row r="59" spans="1:11" x14ac:dyDescent="0.3">
      <c r="A59" t="s">
        <v>84</v>
      </c>
      <c r="B59" s="1">
        <v>45832</v>
      </c>
      <c r="C59" t="s">
        <v>13</v>
      </c>
      <c r="D59" t="s">
        <v>19</v>
      </c>
      <c r="E59" t="s">
        <v>20</v>
      </c>
      <c r="F59">
        <v>8</v>
      </c>
      <c r="G59">
        <v>2681.96</v>
      </c>
      <c r="H59">
        <v>725.04</v>
      </c>
      <c r="I59">
        <f t="shared" si="0"/>
        <v>27.033960238034872</v>
      </c>
      <c r="K59" t="str">
        <f t="shared" si="1"/>
        <v>high</v>
      </c>
    </row>
    <row r="60" spans="1:11" x14ac:dyDescent="0.3">
      <c r="A60" t="s">
        <v>85</v>
      </c>
      <c r="B60" s="1">
        <v>46006</v>
      </c>
      <c r="C60" t="s">
        <v>22</v>
      </c>
      <c r="D60" t="s">
        <v>10</v>
      </c>
      <c r="E60" t="s">
        <v>51</v>
      </c>
      <c r="F60">
        <v>2</v>
      </c>
      <c r="G60">
        <v>917.12</v>
      </c>
      <c r="H60">
        <v>110.91</v>
      </c>
      <c r="I60">
        <f t="shared" si="0"/>
        <v>12.093292044661549</v>
      </c>
      <c r="K60" t="str">
        <f t="shared" si="1"/>
        <v>medium</v>
      </c>
    </row>
    <row r="61" spans="1:11" x14ac:dyDescent="0.3">
      <c r="A61" t="s">
        <v>86</v>
      </c>
      <c r="B61" s="1">
        <v>45849</v>
      </c>
      <c r="C61" t="s">
        <v>9</v>
      </c>
      <c r="D61" t="s">
        <v>25</v>
      </c>
      <c r="E61" t="s">
        <v>28</v>
      </c>
      <c r="F61">
        <v>2</v>
      </c>
      <c r="G61">
        <v>546.55999999999995</v>
      </c>
      <c r="H61">
        <v>68.14</v>
      </c>
      <c r="I61">
        <f t="shared" si="0"/>
        <v>12.46706674473068</v>
      </c>
      <c r="K61" t="str">
        <f t="shared" si="1"/>
        <v>medium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sales by region</vt:lpstr>
      <vt:lpstr>total sales</vt:lpstr>
      <vt:lpstr>top 10 products by there sales</vt:lpstr>
      <vt:lpstr>monthly sales trend</vt:lpstr>
      <vt:lpstr>total profit</vt:lpstr>
      <vt:lpstr>average of post margin</vt:lpstr>
      <vt:lpstr>quantity</vt:lpstr>
      <vt:lpstr>profit by region</vt:lpstr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Shashwat Saxena</cp:lastModifiedBy>
  <dcterms:created xsi:type="dcterms:W3CDTF">2026-06-08T22:58:14Z</dcterms:created>
  <dcterms:modified xsi:type="dcterms:W3CDTF">2026-06-21T18:06:27Z</dcterms:modified>
</cp:coreProperties>
</file>